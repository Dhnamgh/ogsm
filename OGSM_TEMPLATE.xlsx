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MP\OGSM\Báo cáo OGSM2026\"/>
    </mc:Choice>
  </mc:AlternateContent>
  <xr:revisionPtr revIDLastSave="0" documentId="8_{68B5BB32-26BD-4CF1-8212-A09D531439A6}" xr6:coauthVersionLast="47" xr6:coauthVersionMax="47" xr10:uidLastSave="{00000000-0000-0000-0000-000000000000}"/>
  <bookViews>
    <workbookView xWindow="-120" yWindow="-120" windowWidth="29040" windowHeight="15720" xr2:uid="{00000000-000D-0000-FFFF-FFFF00000000}"/>
  </bookViews>
  <sheets>
    <sheet name="Data" sheetId="1" r:id="rId1"/>
    <sheet name="Dashboard" sheetId="2" r:id="rId2"/>
    <sheet name="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8" i="1" l="1"/>
  <c r="H3" i="3"/>
  <c r="G3" i="3"/>
  <c r="F3" i="3"/>
  <c r="E3" i="3"/>
  <c r="D3" i="3"/>
  <c r="L3" i="1"/>
  <c r="L4" i="1"/>
  <c r="L5" i="1"/>
  <c r="L6" i="1"/>
  <c r="N6" i="1" s="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2" i="1"/>
  <c r="C3" i="3"/>
  <c r="N3" i="1"/>
  <c r="N4" i="1"/>
  <c r="N5" i="1"/>
  <c r="N7" i="1"/>
  <c r="N8" i="1"/>
  <c r="N10" i="1"/>
  <c r="N11" i="1"/>
  <c r="N16" i="1"/>
  <c r="N18" i="1"/>
  <c r="N19" i="1"/>
  <c r="N22" i="1"/>
  <c r="N29" i="1"/>
  <c r="N30" i="1"/>
  <c r="N34" i="1"/>
  <c r="N37" i="1"/>
  <c r="E8" i="3" l="1"/>
  <c r="C49" i="2" s="1"/>
  <c r="E4" i="3"/>
  <c r="F4" i="3"/>
  <c r="F8" i="3"/>
  <c r="D49" i="2" s="1"/>
  <c r="G8" i="3"/>
  <c r="E49" i="2" s="1"/>
  <c r="G4" i="3"/>
  <c r="D4" i="3"/>
  <c r="D8" i="3"/>
  <c r="B49" i="2" s="1"/>
  <c r="H8" i="3"/>
  <c r="F49" i="2" s="1"/>
  <c r="H4" i="3"/>
  <c r="C4" i="3"/>
  <c r="N38" i="1"/>
  <c r="C8" i="3"/>
  <c r="B5" i="2" s="1"/>
  <c r="D7" i="3"/>
  <c r="B48" i="2" s="1"/>
  <c r="D5" i="3"/>
  <c r="B46" i="2" s="1"/>
  <c r="D6" i="3"/>
  <c r="B47" i="2" s="1"/>
  <c r="N9" i="1"/>
  <c r="N12" i="1"/>
  <c r="N13" i="1"/>
  <c r="N14" i="1"/>
  <c r="N15" i="1"/>
  <c r="N17" i="1"/>
  <c r="N20" i="1"/>
  <c r="N21" i="1"/>
  <c r="N23" i="1"/>
  <c r="N24" i="1"/>
  <c r="N25" i="1"/>
  <c r="N26" i="1"/>
  <c r="N27" i="1"/>
  <c r="N28" i="1"/>
  <c r="N31" i="1"/>
  <c r="N32" i="1"/>
  <c r="N33" i="1"/>
  <c r="N35" i="1"/>
  <c r="N36" i="1"/>
  <c r="N2" i="1"/>
  <c r="D9" i="3" l="1"/>
  <c r="B26" i="2" s="1"/>
  <c r="D10" i="3"/>
  <c r="H7" i="3"/>
  <c r="F48" i="2" s="1"/>
  <c r="H6" i="3"/>
  <c r="F47" i="2" s="1"/>
  <c r="F6" i="3"/>
  <c r="D47" i="2" s="1"/>
  <c r="H5" i="3"/>
  <c r="F46" i="2" s="1"/>
  <c r="G7" i="3"/>
  <c r="E48" i="2" s="1"/>
  <c r="G6" i="3"/>
  <c r="E47" i="2" s="1"/>
  <c r="G5" i="3"/>
  <c r="E46" i="2" s="1"/>
  <c r="F5" i="3"/>
  <c r="D46" i="2" s="1"/>
  <c r="F7" i="3"/>
  <c r="D48" i="2" s="1"/>
  <c r="E7" i="3"/>
  <c r="C48" i="2" s="1"/>
  <c r="E6" i="3"/>
  <c r="C47" i="2" s="1"/>
  <c r="E5" i="3"/>
  <c r="C46" i="2" s="1"/>
  <c r="C7" i="3"/>
  <c r="B4" i="2" s="1"/>
  <c r="C6" i="3"/>
  <c r="B3" i="2" s="1"/>
  <c r="C5" i="3"/>
  <c r="B2" i="2" s="1"/>
  <c r="E9" i="3" l="1"/>
  <c r="B27" i="2" s="1"/>
  <c r="E10" i="3"/>
  <c r="H9" i="3"/>
  <c r="B30" i="2" s="1"/>
  <c r="H10" i="3"/>
  <c r="F9" i="3"/>
  <c r="B28" i="2" s="1"/>
  <c r="F10" i="3"/>
  <c r="G9" i="3"/>
  <c r="B29" i="2" s="1"/>
  <c r="G10" i="3"/>
  <c r="C9" i="3"/>
  <c r="C10" i="3"/>
</calcChain>
</file>

<file path=xl/sharedStrings.xml><?xml version="1.0" encoding="utf-8"?>
<sst xmlns="http://schemas.openxmlformats.org/spreadsheetml/2006/main" count="349" uniqueCount="106">
  <si>
    <t>STT</t>
  </si>
  <si>
    <t>Goals UMP</t>
  </si>
  <si>
    <t>Goals HCTH</t>
  </si>
  <si>
    <t>Measure (KPI)</t>
  </si>
  <si>
    <t>Tỷ lệ đạt (%)</t>
  </si>
  <si>
    <t xml:space="preserve">1.1. 100% chương trình giáo dục đại học và tối thiểu 30% chương trình đào tạo sau đại học đạt kiểm định quốc tế. </t>
  </si>
  <si>
    <t>1.1.Đáp ứng 100% các yêu cầu rà soát công tác HCTH theo các góp ý của Đoàn kiểm định</t>
  </si>
  <si>
    <t>MF1. ít nhất 02 nhân sự đạt chuẩn quốc tế về ngoại ngữ (ít nhất đạt 5.5 Ielts hoặc tương đương).</t>
  </si>
  <si>
    <t>MF2: Website Tiếng Anh được cập nhật liên tục phục vụ công tác kiểm định nói riêng và công tác thông tin, quảng bá UMP nói chung.</t>
  </si>
  <si>
    <t>1.2. 100% chương trình Giáo dục Đại học đều được đối sánh với một chương trình tương ứng của các trường ở Đông Nam Á / Châu Á được xếp hạng trong top 100 Châu Á.</t>
  </si>
  <si>
    <t>1.2. Đáp ứng 100% yêu cầu của các đơn vị để đảm bảo đối sánh</t>
  </si>
  <si>
    <t>MF1: Có 01 sản phẩm Brochure (Tiếng Anh, Việt) được phát hành.</t>
  </si>
  <si>
    <t>MF2: Có 1 trang thông tin (Anh, Việt) giới thiệu về UMP phục vụ công tác kiểm định.</t>
  </si>
  <si>
    <t>MF3: 100% các tin tức, thông báo về đối sánh được đăng tải đúng thời gian quy định.</t>
  </si>
  <si>
    <t>1.3. Xây dựng tối thiểu 02 chương trình quốc tế; quốc tế hoá phát triển giảng viên và trao đổi sinh viên.</t>
  </si>
  <si>
    <t xml:space="preserve">1.3. Đáp ứng yêu cầu của các đơn vị đào tạo để mở ít nhất 2 CTĐT Quốc tế </t>
  </si>
  <si>
    <t>MF1:. Website song ngữ Anh - Việt được cập nhật nhanh nhất.</t>
  </si>
  <si>
    <t>MF2: 100% các bảng hiệu được thiết kế song ngữ.</t>
  </si>
  <si>
    <t>MF3:  Xây dựng ít nhất phòng nghỉ đạt chuẩn cho GV Quốc tế</t>
  </si>
  <si>
    <t>2.1 Xây dựng 05 nhóm nghiên cứu mạnh/ tiệm cận mạnh theo Nghị định 109/2022/NĐ-CP và 05 chương trình KC (10, 11, 12) hoặc tương đương.</t>
  </si>
  <si>
    <t>2.1. Xây dựng Kế hoạch truyền thông về các nhóm NC; quảng bá nhóm nghiên cứu mạnh.</t>
  </si>
  <si>
    <t>MF1: Đạt ít nhất 10.000 lượt truy cập vào website và fanpage nhóm nghiên cứu mạnh mỗi năm.</t>
  </si>
  <si>
    <t>MF2: Tổ chức lễ ra mắt nhóm NC mạnh và tổ chức talkshow về các nhóm nghiên cứu xuất sắc mỗi năm.</t>
  </si>
  <si>
    <t xml:space="preserve">2.2. Tăng gấp đôi số bài báo quốc tế có uy tín; </t>
  </si>
  <si>
    <t>2.2. Xây dựng Kế hoạch truyền thông về nhà nghiên cứu xuất sắc, nhóm nghiên cứu xuất sắc, bài báo xuất sắc hàng Quý.</t>
  </si>
  <si>
    <t>MF1. Cử 2 nhân sự tham gia tập huấn.</t>
  </si>
  <si>
    <t>MF2: Có ít nhất một sản phẩm truyền thông về nhóm NC mạnh và sản phẩm NC xuất sắc hàng quý</t>
  </si>
  <si>
    <t>2.3. Có 10 dự án chuyển giao kỹ thuật/công nghệ thông qua nghiên cứu hợp tác với giới công/doanh nghiệp và thành lập một công ty TNHH 1 thành viên.</t>
  </si>
  <si>
    <t>2.3. Xây dựng Kế hoạch truyền thông về chuyển giao công nghệ (theo Nghị quyết số 57-NQ/TW ngày 22/12/2024 của Bộ Chính trị về đột phá phát triển khoa học, công nghệ, đổi mới sáng tạo và chuyển đổi số quốc gia)</t>
  </si>
  <si>
    <t>MF1: Hoàn thành 1 bộ tài liệu tài liệu hướng dẫn</t>
  </si>
  <si>
    <t>3.1. Xây dựng BVĐHYD thành BV trường đại học kiểu mẫu.</t>
  </si>
  <si>
    <t>3.1. Xây dựng kế hoạch chuẩn hóa công tác HCTH và truyền thông của BV theo quy định của UMP</t>
  </si>
  <si>
    <t>MF1: Tổ chức ít nhất 1 buổi hội thảo, tập huấn về công tác truyền thông UMP-UMC</t>
  </si>
  <si>
    <t>MF2: Xây dựng các quy trình chuẩn hóa, phối hợp, kiểm tra giám sát về công tác truyền thông</t>
  </si>
  <si>
    <t>3.2. Tăng 30% chương trình đào tạo liên tục và đa dạng hoá công tác đào tạo liên tục theo nhu cầu xã hội, hỗ trợ kỹ thuật và chuyển giao công nghệ.</t>
  </si>
  <si>
    <t>3.2.Xây dựng kế hoạch truyền thông nhằm quảng bá các chương trình đào tạo liên tục</t>
  </si>
  <si>
    <t>MF1: Cử 2 nhân sự tham gia tập huấn về công tác tổ chức đào tạo liên tục.</t>
  </si>
  <si>
    <t>MF2: Có mô hình truyền thông đáp ứng yêu cầu của các đơn vị đào tạo liên tục</t>
  </si>
  <si>
    <t xml:space="preserve">3.3. Cải thiện môi trường học thuật cho cộng đồng UMP và xây dựng dịch vụ một cổng cho sinh viên, học viên, giảng viên và các bên liên quan. </t>
  </si>
  <si>
    <t xml:space="preserve">3.3. Cải thiện môi trường xanh (ESG) và tham gia xây dựng, triển khai dịch vụ một cổng (trên môi trường thực và số) cho sinh viên, học viên, giảng viên và các bên liên quan. </t>
  </si>
  <si>
    <t>MF1: Hoàn thành ít nhất 3 hạng mục cải thiện cảnh quan và vệ sinh môi trường trong mỗi năm.</t>
  </si>
  <si>
    <t>MF2: Có ít nhất 1 sản phẩm  truyền thông về ít nhất 1 đợt tập huấn về hệ thống một cổng.</t>
  </si>
  <si>
    <t>4.2. Có 50 đề tài nghiên cứu khoa học trong lĩnh vực AI.</t>
  </si>
  <si>
    <t>4.2. Có ít nhất 1 đề tài nghiên cứu khoa học liên quan đến lĩnh vực AI.</t>
  </si>
  <si>
    <t>MF1: Có ít nhất 1 đề tài nghiên cứu khoa học liên quan đến AI được phê duyệt và triển khai mỗi năm.</t>
  </si>
  <si>
    <t>4.3. Mỗi đơn vị có tối thiểu một ứng dụng công cụ AI trong hành chính và quản trị.</t>
  </si>
  <si>
    <t>4.3. Xây dựng một công cụ AI (chatbot) phục vụ công tác HCTH</t>
  </si>
  <si>
    <t>MF1: Có 1 chatbot được tích hợp vào ERP.</t>
  </si>
  <si>
    <t>MF3: Chatbot được rà soát, cập nhật hàng năm và theo yêu cầu</t>
  </si>
  <si>
    <t>5.1. Phát triển nguồn lực tài chính bền vững: tỷ lệ tích luỹ tối thiểu 10%/ năm.</t>
  </si>
  <si>
    <t>5.1. Phát triển nguồn lực tài chính bền vững</t>
  </si>
  <si>
    <t>MF1: Hoàn thành 100% kế hoạch Phân bổ tiêu đúng tiến độ và đúng quy định trong năm học.</t>
  </si>
  <si>
    <t>MF2: Giảm ≥ 10% Phân bổ phí hành chính thông qua tối ưu quy trình và sử dụng hiệu quả nguồn lực.</t>
  </si>
  <si>
    <t>MF3: Xây dựng kế hoạch về việc phân bổ ngân sách theo nhu cầu thực tế</t>
  </si>
  <si>
    <t>5.2. Xây dựng văn hoá UMP; phát triển đội ngũ giảng viên và hỗ trợ đạt chuẩn đại học định hướng nghiên cứu.</t>
  </si>
  <si>
    <t>5.2. Xây dựng quy chế văn hóa công sở UMP, phát triển nguồn nhân sự của P.HCTH đạt chuẩn đại học định hướng nghiên cứu</t>
  </si>
  <si>
    <t>MF1: Xây dựng và ban hành quy chế Văn hóa công sở UMP.</t>
  </si>
  <si>
    <t>MF2: 100% đội ngũ cán bộ lãnh đạo, quản lý, cán bộ quy hoạch tham gia đào tạo theo Kế hoạch 5 năm.</t>
  </si>
  <si>
    <t>MF3: Xây dựng và triển khai kế hoạch truyền thông kỷ niệm 80 năm thành lập trường.</t>
  </si>
  <si>
    <t>5.3. Chuyển đổi số trong quản trị, đào tạo, nghiên cứu khoa học. Hoàn thành dự án ERP.</t>
  </si>
  <si>
    <t>5.3. 100% các Quy trình chuẩn SOP được đưa lên hệ thống ERP; số hóa tài liệu phục vụ công tác chuyển đổi số</t>
  </si>
  <si>
    <t>MF1: Số hóa ≥ 70% tài liệu hành chính đã được chỉnh lý.</t>
  </si>
  <si>
    <t>MF2: 100% SOP hành chính của phòng HCTH được tích hợp lên hệ thống ERP</t>
  </si>
  <si>
    <t>MF3: Tổ chức ít nhất 1 Hội thảo, một kỳ thi về công tác văn thư, lưu trữ mỗi năm.</t>
  </si>
  <si>
    <t>Objects</t>
  </si>
  <si>
    <t>Giáo dục: Hội nhập và đạt chuẩn quốc tế</t>
  </si>
  <si>
    <t>Nghiên cứu khoa học: Sáng tạo và học thuật</t>
  </si>
  <si>
    <t>Phục vụ cộng đồng: Tinh thần phụng sự và nâng tầm ảnh hưởng</t>
  </si>
  <si>
    <t>Trí tuệ nhân tạo (AI): Thúc đẩy và ứng dụng</t>
  </si>
  <si>
    <t xml:space="preserve">Quản trị đại học: Hiệu quả, hợp tác và cải tiến liên tục  </t>
  </si>
  <si>
    <t>No</t>
  </si>
  <si>
    <t>4.1. 20% số học phần học tập trong chương trình giáo dục và đào tạo có ứng dụng AI.</t>
  </si>
  <si>
    <t>MF2: 100% các nhóm NC và chuyên viên phục trách truyền thông, NCKH của các đơn vị được tập huấn</t>
  </si>
  <si>
    <t>MF3: 100% thông tin được cập nhật nhanh nhất trên các nền tảng</t>
  </si>
  <si>
    <t>MF4: Tổ chức thăm quan, học tập kinh nghiệm tại một trường ĐH đã thực hiện tốt về công tác truyền thông KHCN, đổi mới sáng tạo, chuyển giao công nghệ.</t>
  </si>
  <si>
    <t>MF1: Truyền thông về các học phần có ứng dụng AI</t>
  </si>
  <si>
    <t>MF2: Có 1 buổi tập huấn về huấn luyện và sử dụng chatbot</t>
  </si>
  <si>
    <t>Năm đích</t>
  </si>
  <si>
    <t>Trạng thái</t>
  </si>
  <si>
    <t>Tỷ lệ hoàn thành</t>
  </si>
  <si>
    <t>Tỷ lệ hoàn thành + đang thực hiện</t>
  </si>
  <si>
    <t>KPI hoàn thành</t>
  </si>
  <si>
    <t>KPI đang thực hiện</t>
  </si>
  <si>
    <t>KPI không đạt</t>
  </si>
  <si>
    <t>Tổng KPI</t>
  </si>
  <si>
    <t>KPI đến hạn</t>
  </si>
  <si>
    <t>KPI chưa đến hạn</t>
  </si>
  <si>
    <t>x</t>
  </si>
  <si>
    <t>O1</t>
  </si>
  <si>
    <t>O2</t>
  </si>
  <si>
    <t>O3</t>
  </si>
  <si>
    <t>O4</t>
  </si>
  <si>
    <t>O5</t>
  </si>
  <si>
    <t>2025</t>
  </si>
  <si>
    <t>2026</t>
  </si>
  <si>
    <t>2027</t>
  </si>
  <si>
    <t>2028</t>
  </si>
  <si>
    <t>2029</t>
  </si>
  <si>
    <t>Chung</t>
  </si>
  <si>
    <t>Giá trị</t>
  </si>
  <si>
    <t>Hoàn thành</t>
  </si>
  <si>
    <t>Đang thực hiện</t>
  </si>
  <si>
    <t>Không đạt</t>
  </si>
  <si>
    <t>Chưa đến hạn</t>
  </si>
  <si>
    <t>Objective</t>
  </si>
  <si>
    <t>% Hoàn thành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</si>
</sst>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2"/>
      <color theme="1"/>
      <name val="Times New Roman"/>
      <family val="1"/>
    </font>
    <font>
      <sz val="12"/>
      <color theme="1"/>
      <name val="Calibri"/>
      <family val="2"/>
      <scheme val="minor"/>
    </font>
    <font>
      <sz val="12"/>
      <color rgb="FFC00000"/>
      <name val="Times New Roman"/>
      <family val="1"/>
    </font>
    <font>
      <sz val="12"/>
      <name val="Times New Roman"/>
      <family val="1"/>
    </font>
    <font>
      <b/>
      <sz val="12"/>
      <color theme="2"/>
      <name val="Times New Roman"/>
      <family val="1"/>
    </font>
    <font>
      <b/>
      <sz val="14"/>
      <color theme="2"/>
      <name val="Times New Roman"/>
      <family val="1"/>
    </font>
    <font>
      <b/>
      <sz val="14"/>
      <color theme="2"/>
      <name val="Calibri"/>
      <family val="2"/>
      <scheme val="minor"/>
    </font>
    <font>
      <sz val="8"/>
      <name val="Calibri"/>
      <family val="2"/>
      <scheme val="minor"/>
    </font>
    <font>
      <sz val="13"/>
      <color rgb="FFC00000"/>
      <name val="Times New Roman"/>
      <family val="1"/>
    </font>
    <font>
      <sz val="13"/>
      <color theme="1"/>
      <name val="Segoe UI"/>
      <family val="2"/>
    </font>
    <font>
      <sz val="13"/>
      <color theme="1"/>
      <name val="Calibri"/>
      <family val="2"/>
      <scheme val="minor"/>
    </font>
    <font>
      <b/>
      <sz val="11"/>
      <color theme="1"/>
      <name val="Calibri"/>
      <family val="2"/>
      <scheme val="minor"/>
    </font>
    <font>
      <sz val="10"/>
      <color theme="1"/>
      <name val="Arial Unicode MS"/>
    </font>
    <font>
      <b/>
      <sz val="14"/>
      <color theme="1"/>
      <name val="Times New Roman"/>
      <family val="1"/>
    </font>
    <font>
      <sz val="14"/>
      <color theme="1"/>
      <name val="Times New Roman"/>
      <family val="1"/>
    </font>
    <font>
      <b/>
      <sz val="13"/>
      <color theme="1"/>
      <name val="Calibri"/>
      <family val="2"/>
      <scheme val="minor"/>
    </font>
    <font>
      <sz val="13"/>
      <color theme="1"/>
      <name val="Arial Unicode MS"/>
    </font>
    <font>
      <b/>
      <sz val="13"/>
      <color theme="1"/>
      <name val="Segoe UI"/>
      <family val="2"/>
    </font>
  </fonts>
  <fills count="4">
    <fill>
      <patternFill patternType="none"/>
    </fill>
    <fill>
      <patternFill patternType="gray125"/>
    </fill>
    <fill>
      <patternFill patternType="solid">
        <fgColor rgb="FF1F4E78"/>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52">
    <xf numFmtId="0" fontId="0" fillId="0" borderId="0" xfId="0"/>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4" fillId="0" borderId="1" xfId="0" applyFont="1" applyBorder="1" applyAlignment="1" applyProtection="1">
      <alignment vertical="center" wrapText="1"/>
      <protection locked="0"/>
    </xf>
    <xf numFmtId="0" fontId="0" fillId="0" borderId="1" xfId="0" applyBorder="1" applyAlignment="1" applyProtection="1">
      <alignment horizontal="center" vertical="center"/>
      <protection locked="0"/>
    </xf>
    <xf numFmtId="0" fontId="3" fillId="0" borderId="1" xfId="1" applyFont="1" applyBorder="1" applyAlignment="1" applyProtection="1">
      <alignment horizontal="left" vertical="top" wrapText="1"/>
      <protection locked="0"/>
    </xf>
    <xf numFmtId="0" fontId="1" fillId="0" borderId="1" xfId="0" applyFont="1" applyBorder="1" applyAlignment="1" applyProtection="1">
      <alignment vertical="center" wrapText="1"/>
      <protection locked="0"/>
    </xf>
    <xf numFmtId="0" fontId="0" fillId="0" borderId="0" xfId="0" applyProtection="1">
      <protection locked="0"/>
    </xf>
    <xf numFmtId="0" fontId="0" fillId="0" borderId="1" xfId="0" applyBorder="1" applyProtection="1">
      <protection locked="0"/>
    </xf>
    <xf numFmtId="0" fontId="4" fillId="0" borderId="3" xfId="0" applyFont="1" applyBorder="1" applyAlignment="1" applyProtection="1">
      <alignment horizontal="center" vertical="center" wrapText="1"/>
      <protection locked="0"/>
    </xf>
    <xf numFmtId="0" fontId="6" fillId="2" borderId="4" xfId="0" applyFont="1" applyFill="1" applyBorder="1" applyAlignment="1" applyProtection="1">
      <alignment horizontal="center" wrapText="1"/>
      <protection locked="0"/>
    </xf>
    <xf numFmtId="0" fontId="6" fillId="2" borderId="5" xfId="0" applyFont="1" applyFill="1" applyBorder="1" applyAlignment="1" applyProtection="1">
      <alignment horizontal="center" wrapText="1"/>
      <protection locked="0"/>
    </xf>
    <xf numFmtId="0" fontId="3" fillId="0" borderId="6" xfId="0" applyFont="1" applyBorder="1" applyAlignment="1" applyProtection="1">
      <alignment horizontal="center" vertical="center" wrapText="1"/>
      <protection locked="0"/>
    </xf>
    <xf numFmtId="0" fontId="3" fillId="0" borderId="6" xfId="1" applyFont="1" applyBorder="1" applyAlignment="1" applyProtection="1">
      <alignment horizontal="left" vertical="top" wrapText="1"/>
      <protection locked="0"/>
    </xf>
    <xf numFmtId="0" fontId="4" fillId="0" borderId="6" xfId="0" applyFont="1" applyBorder="1" applyAlignment="1" applyProtection="1">
      <alignment vertical="center" wrapText="1"/>
      <protection locked="0"/>
    </xf>
    <xf numFmtId="0" fontId="0" fillId="0" borderId="6" xfId="0" applyBorder="1" applyAlignment="1" applyProtection="1">
      <alignment horizontal="center" vertical="center"/>
      <protection locked="0"/>
    </xf>
    <xf numFmtId="1" fontId="6" fillId="2" borderId="5" xfId="0" applyNumberFormat="1" applyFont="1" applyFill="1" applyBorder="1" applyAlignment="1" applyProtection="1">
      <alignment horizontal="center" wrapText="1"/>
      <protection locked="0"/>
    </xf>
    <xf numFmtId="0" fontId="3" fillId="0" borderId="5" xfId="0" applyFont="1" applyBorder="1" applyAlignment="1" applyProtection="1">
      <alignment horizontal="center" vertical="center" wrapText="1"/>
      <protection locked="0"/>
    </xf>
    <xf numFmtId="0" fontId="3" fillId="0" borderId="5" xfId="1" applyFont="1" applyBorder="1" applyAlignment="1" applyProtection="1">
      <alignment horizontal="left" vertical="top" wrapText="1"/>
      <protection locked="0"/>
    </xf>
    <xf numFmtId="0" fontId="0" fillId="0" borderId="1" xfId="0" applyBorder="1" applyAlignment="1">
      <alignment horizontal="center"/>
    </xf>
    <xf numFmtId="10" fontId="0" fillId="0" borderId="1" xfId="0" applyNumberFormat="1" applyBorder="1" applyAlignment="1">
      <alignment horizontal="center"/>
    </xf>
    <xf numFmtId="0" fontId="10" fillId="0" borderId="1" xfId="0" applyFont="1" applyBorder="1" applyAlignment="1">
      <alignment horizontal="left" vertical="center"/>
    </xf>
    <xf numFmtId="0" fontId="11" fillId="0" borderId="1" xfId="0" applyFont="1" applyBorder="1" applyAlignment="1">
      <alignment horizontal="left"/>
    </xf>
    <xf numFmtId="0" fontId="0" fillId="0" borderId="2" xfId="0" applyBorder="1" applyAlignment="1" applyProtection="1">
      <alignment horizontal="center" vertical="center"/>
      <protection locked="0"/>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0" fillId="0" borderId="0" xfId="0" applyAlignment="1">
      <alignment horizontal="left"/>
    </xf>
    <xf numFmtId="0" fontId="16" fillId="0" borderId="1" xfId="0" applyFont="1" applyBorder="1" applyAlignment="1">
      <alignment horizontal="center" vertical="center" wrapText="1"/>
    </xf>
    <xf numFmtId="0" fontId="11" fillId="0" borderId="1" xfId="0" applyFont="1" applyBorder="1" applyAlignment="1">
      <alignment horizontal="center" vertical="center" wrapText="1"/>
    </xf>
    <xf numFmtId="10" fontId="17" fillId="0" borderId="1" xfId="0" applyNumberFormat="1" applyFont="1" applyBorder="1" applyAlignment="1">
      <alignment horizontal="center" vertical="center" wrapText="1"/>
    </xf>
    <xf numFmtId="0" fontId="18" fillId="0" borderId="1" xfId="0" applyFont="1" applyBorder="1" applyAlignment="1">
      <alignment horizontal="center" vertical="center"/>
    </xf>
    <xf numFmtId="0" fontId="12" fillId="0" borderId="1" xfId="0" applyFont="1" applyBorder="1" applyAlignment="1">
      <alignment horizontal="left" wrapText="1"/>
    </xf>
    <xf numFmtId="0" fontId="12" fillId="0" borderId="1" xfId="0" applyFont="1" applyBorder="1" applyAlignment="1">
      <alignment horizontal="center" wrapText="1"/>
    </xf>
    <xf numFmtId="0" fontId="0" fillId="0" borderId="1" xfId="0" applyBorder="1" applyAlignment="1">
      <alignment horizontal="left" wrapText="1"/>
    </xf>
    <xf numFmtId="0" fontId="13" fillId="0" borderId="1" xfId="0" applyFont="1" applyBorder="1" applyAlignment="1">
      <alignment horizontal="center" wrapText="1"/>
    </xf>
    <xf numFmtId="0" fontId="7" fillId="0" borderId="0" xfId="0" applyFont="1" applyAlignment="1" applyProtection="1">
      <alignment horizontal="center"/>
      <protection locked="0"/>
    </xf>
    <xf numFmtId="0" fontId="0" fillId="0" borderId="0" xfId="0" applyAlignment="1" applyProtection="1">
      <alignment horizontal="center"/>
      <protection locked="0"/>
    </xf>
    <xf numFmtId="0" fontId="6" fillId="0" borderId="5" xfId="0" applyFont="1" applyBorder="1" applyAlignment="1" applyProtection="1">
      <alignment horizontal="center" wrapText="1"/>
      <protection hidden="1"/>
    </xf>
    <xf numFmtId="1" fontId="4" fillId="0" borderId="1" xfId="0" applyNumberFormat="1" applyFont="1" applyBorder="1" applyAlignment="1" applyProtection="1">
      <alignment horizontal="center" vertical="center" wrapText="1"/>
      <protection hidden="1"/>
    </xf>
    <xf numFmtId="1" fontId="4" fillId="0" borderId="6" xfId="0" applyNumberFormat="1" applyFont="1" applyBorder="1" applyAlignment="1" applyProtection="1">
      <alignment horizontal="center" vertical="center" wrapText="1"/>
      <protection hidden="1"/>
    </xf>
    <xf numFmtId="1" fontId="4" fillId="0" borderId="3" xfId="0" applyNumberFormat="1" applyFont="1" applyBorder="1" applyAlignment="1" applyProtection="1">
      <alignment horizontal="center" vertical="center" wrapText="1"/>
      <protection hidden="1"/>
    </xf>
    <xf numFmtId="0" fontId="0" fillId="0" borderId="0" xfId="0" applyAlignment="1" applyProtection="1">
      <alignment horizontal="center"/>
      <protection hidden="1"/>
    </xf>
    <xf numFmtId="1" fontId="5" fillId="3" borderId="5" xfId="0" applyNumberFormat="1" applyFont="1" applyFill="1" applyBorder="1" applyAlignment="1" applyProtection="1">
      <alignment horizontal="center" vertical="center" wrapText="1"/>
      <protection hidden="1"/>
    </xf>
    <xf numFmtId="0" fontId="1" fillId="3" borderId="1" xfId="0" applyFont="1" applyFill="1" applyBorder="1" applyAlignment="1" applyProtection="1">
      <alignment horizontal="center" vertical="center"/>
      <protection hidden="1"/>
    </xf>
    <xf numFmtId="1" fontId="0" fillId="3" borderId="0" xfId="0" applyNumberFormat="1" applyFill="1" applyAlignment="1" applyProtection="1">
      <alignment horizontal="center" vertical="center"/>
      <protection hidden="1"/>
    </xf>
    <xf numFmtId="0" fontId="5" fillId="3" borderId="1" xfId="0" applyFont="1" applyFill="1" applyBorder="1" applyAlignment="1" applyProtection="1">
      <alignment horizontal="left" vertical="center" wrapText="1"/>
      <protection hidden="1"/>
    </xf>
    <xf numFmtId="0" fontId="1" fillId="3" borderId="1" xfId="0" applyFont="1" applyFill="1" applyBorder="1" applyAlignment="1" applyProtection="1">
      <alignment vertical="center"/>
      <protection hidden="1"/>
    </xf>
    <xf numFmtId="0" fontId="0" fillId="3" borderId="0" xfId="0" applyFill="1" applyProtection="1">
      <protection hidden="1"/>
    </xf>
    <xf numFmtId="0" fontId="9" fillId="0" borderId="2" xfId="0" applyFont="1" applyBorder="1" applyAlignment="1" applyProtection="1">
      <alignment horizontal="left" vertical="center"/>
      <protection locked="0"/>
    </xf>
    <xf numFmtId="0" fontId="9" fillId="0" borderId="3" xfId="0" applyFont="1" applyBorder="1" applyAlignment="1" applyProtection="1">
      <alignment horizontal="left" vertical="center"/>
      <protection locked="0"/>
    </xf>
  </cellXfs>
  <cellStyles count="2">
    <cellStyle name="Normal" xfId="0" builtinId="0"/>
    <cellStyle name="Normal 2" xfId="1" xr:uid="{A89FCD5F-6875-4CF9-9C27-3BA55C3FF8EF}"/>
  </cellStyles>
  <dxfs count="18">
    <dxf>
      <font>
        <b val="0"/>
        <i val="0"/>
        <strike val="0"/>
        <condense val="0"/>
        <extend val="0"/>
        <outline val="0"/>
        <shadow val="0"/>
        <u val="none"/>
        <vertAlign val="baseline"/>
        <sz val="12"/>
        <color theme="1"/>
        <name val="Times New Roman"/>
        <family val="1"/>
        <scheme val="none"/>
      </font>
      <fill>
        <patternFill patternType="solid">
          <fgColor indexed="64"/>
          <bgColor rgb="FFFF00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2"/>
        <color auto="1"/>
        <name val="Times New Roman"/>
        <family val="1"/>
        <scheme val="none"/>
      </font>
      <numFmt numFmtId="1" formatCode="0"/>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2"/>
        <color theme="1"/>
        <name val="Times New Roman"/>
        <family val="1"/>
        <scheme val="none"/>
      </font>
      <numFmt numFmtId="0" formatCode="General"/>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auto="1"/>
        <name val="Times New Roman"/>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auto="1"/>
        <name val="Times New Roman"/>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auto="1"/>
        <name val="Times New Roman"/>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rgb="FFC00000"/>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rgb="FFC00000"/>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auto="1"/>
        <name val="Times New Roman"/>
        <family val="1"/>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border outline="0">
        <left style="thin">
          <color indexed="64"/>
        </left>
        <right style="thin">
          <color indexed="64"/>
        </right>
        <top style="thin">
          <color indexed="64"/>
        </top>
        <bottom style="thin">
          <color indexed="64"/>
        </bottom>
      </border>
    </dxf>
    <dxf>
      <protection locked="0"/>
    </dxf>
    <dxf>
      <border outline="0">
        <bottom style="thin">
          <color indexed="64"/>
        </bottom>
      </border>
    </dxf>
    <dxf>
      <protection locked="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Tổng quan thực hiện OGSM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Dashboard!$B$1</c:f>
              <c:strCache>
                <c:ptCount val="1"/>
                <c:pt idx="0">
                  <c:v>Giá trị</c:v>
                </c:pt>
              </c:strCache>
            </c:strRef>
          </c:tx>
          <c:dPt>
            <c:idx val="0"/>
            <c:bubble3D val="0"/>
            <c:spPr>
              <a:solidFill>
                <a:schemeClr val="accent1"/>
              </a:solidFill>
              <a:ln w="22225">
                <a:solidFill>
                  <a:schemeClr val="lt1"/>
                </a:solidFill>
              </a:ln>
              <a:effectLst/>
            </c:spPr>
            <c:extLst>
              <c:ext xmlns:c16="http://schemas.microsoft.com/office/drawing/2014/chart" uri="{C3380CC4-5D6E-409C-BE32-E72D297353CC}">
                <c16:uniqueId val="{00000001-C906-4C7C-ACFB-3540C936FC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4B-4E21-825C-A1E65B18EE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4B-4E21-825C-A1E65B18EE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4B-4E21-825C-A1E65B18EEE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Dashboard!$A$2:$A$5</c:f>
              <c:strCache>
                <c:ptCount val="4"/>
                <c:pt idx="0">
                  <c:v>Hoàn thành</c:v>
                </c:pt>
                <c:pt idx="1">
                  <c:v>Đang thực hiện</c:v>
                </c:pt>
                <c:pt idx="2">
                  <c:v>Không đạt</c:v>
                </c:pt>
                <c:pt idx="3">
                  <c:v>Chưa đến hạn</c:v>
                </c:pt>
              </c:strCache>
            </c:strRef>
          </c:cat>
          <c:val>
            <c:numRef>
              <c:f>Dashboard!$B$2:$B$5</c:f>
              <c:numCache>
                <c:formatCode>General</c:formatCode>
                <c:ptCount val="4"/>
                <c:pt idx="0">
                  <c:v>17</c:v>
                </c:pt>
                <c:pt idx="1">
                  <c:v>3</c:v>
                </c:pt>
                <c:pt idx="2">
                  <c:v>4</c:v>
                </c:pt>
                <c:pt idx="3">
                  <c:v>13</c:v>
                </c:pt>
              </c:numCache>
            </c:numRef>
          </c:val>
          <c:extLst>
            <c:ext xmlns:c16="http://schemas.microsoft.com/office/drawing/2014/chart" uri="{C3380CC4-5D6E-409C-BE32-E72D297353CC}">
              <c16:uniqueId val="{00000000-C906-4C7C-ACFB-3540C936FC0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Dashboard!$B$25</c:f>
              <c:strCache>
                <c:ptCount val="1"/>
                <c:pt idx="0">
                  <c:v>% Hoàn thành</c:v>
                </c:pt>
              </c:strCache>
            </c:strRef>
          </c:tx>
          <c:spPr>
            <a:solidFill>
              <a:schemeClr val="accent1"/>
            </a:solidFill>
            <a:ln>
              <a:noFill/>
            </a:ln>
            <a:effectLst/>
          </c:spPr>
          <c:invertIfNegative val="0"/>
          <c:dPt>
            <c:idx val="1"/>
            <c:invertIfNegative val="0"/>
            <c:bubble3D val="0"/>
            <c:spPr>
              <a:solidFill>
                <a:srgbClr val="92D050"/>
              </a:solidFill>
              <a:ln>
                <a:noFill/>
              </a:ln>
              <a:effectLst/>
            </c:spPr>
            <c:extLst>
              <c:ext xmlns:c16="http://schemas.microsoft.com/office/drawing/2014/chart" uri="{C3380CC4-5D6E-409C-BE32-E72D297353CC}">
                <c16:uniqueId val="{00000002-B000-4481-BD7F-0ADDBCC09705}"/>
              </c:ext>
            </c:extLst>
          </c:dPt>
          <c:dPt>
            <c:idx val="2"/>
            <c:invertIfNegative val="0"/>
            <c:bubble3D val="0"/>
            <c:spPr>
              <a:solidFill>
                <a:srgbClr val="FFC000"/>
              </a:solidFill>
              <a:ln>
                <a:noFill/>
              </a:ln>
              <a:effectLst/>
            </c:spPr>
            <c:extLst>
              <c:ext xmlns:c16="http://schemas.microsoft.com/office/drawing/2014/chart" uri="{C3380CC4-5D6E-409C-BE32-E72D297353CC}">
                <c16:uniqueId val="{00000003-B000-4481-BD7F-0ADDBCC09705}"/>
              </c:ext>
            </c:extLst>
          </c:dPt>
          <c:dPt>
            <c:idx val="3"/>
            <c:invertIfNegative val="0"/>
            <c:bubble3D val="0"/>
            <c:spPr>
              <a:solidFill>
                <a:srgbClr val="7030A0"/>
              </a:solidFill>
              <a:ln>
                <a:noFill/>
              </a:ln>
              <a:effectLst/>
            </c:spPr>
            <c:extLst>
              <c:ext xmlns:c16="http://schemas.microsoft.com/office/drawing/2014/chart" uri="{C3380CC4-5D6E-409C-BE32-E72D297353CC}">
                <c16:uniqueId val="{00000004-B000-4481-BD7F-0ADDBCC09705}"/>
              </c:ext>
            </c:extLst>
          </c:dPt>
          <c:dPt>
            <c:idx val="4"/>
            <c:invertIfNegative val="0"/>
            <c:bubble3D val="0"/>
            <c:spPr>
              <a:solidFill>
                <a:srgbClr val="C00000"/>
              </a:solidFill>
              <a:ln>
                <a:noFill/>
              </a:ln>
              <a:effectLst/>
            </c:spPr>
            <c:extLst>
              <c:ext xmlns:c16="http://schemas.microsoft.com/office/drawing/2014/chart" uri="{C3380CC4-5D6E-409C-BE32-E72D297353CC}">
                <c16:uniqueId val="{00000005-B000-4481-BD7F-0ADDBCC097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Dashboard!$A$26:$A$30</c:f>
              <c:strCache>
                <c:ptCount val="5"/>
                <c:pt idx="0">
                  <c:v>O1</c:v>
                </c:pt>
                <c:pt idx="1">
                  <c:v>O2</c:v>
                </c:pt>
                <c:pt idx="2">
                  <c:v>O3</c:v>
                </c:pt>
                <c:pt idx="3">
                  <c:v>O4</c:v>
                </c:pt>
                <c:pt idx="4">
                  <c:v>O5</c:v>
                </c:pt>
              </c:strCache>
            </c:strRef>
          </c:cat>
          <c:val>
            <c:numRef>
              <c:f>Dashboard!$B$26:$B$30</c:f>
              <c:numCache>
                <c:formatCode>0.00%</c:formatCode>
                <c:ptCount val="5"/>
                <c:pt idx="0">
                  <c:v>1</c:v>
                </c:pt>
                <c:pt idx="1">
                  <c:v>0.625</c:v>
                </c:pt>
                <c:pt idx="2">
                  <c:v>0.6</c:v>
                </c:pt>
                <c:pt idx="3">
                  <c:v>1</c:v>
                </c:pt>
                <c:pt idx="4">
                  <c:v>0.75</c:v>
                </c:pt>
              </c:numCache>
            </c:numRef>
          </c:val>
          <c:extLst>
            <c:ext xmlns:c16="http://schemas.microsoft.com/office/drawing/2014/chart" uri="{C3380CC4-5D6E-409C-BE32-E72D297353CC}">
              <c16:uniqueId val="{00000000-B000-4481-BD7F-0ADDBCC09705}"/>
            </c:ext>
          </c:extLst>
        </c:ser>
        <c:dLbls>
          <c:dLblPos val="outEnd"/>
          <c:showLegendKey val="0"/>
          <c:showVal val="1"/>
          <c:showCatName val="0"/>
          <c:showSerName val="0"/>
          <c:showPercent val="0"/>
          <c:showBubbleSize val="0"/>
        </c:dLbls>
        <c:gapWidth val="219"/>
        <c:overlap val="-27"/>
        <c:axId val="100711999"/>
        <c:axId val="130263791"/>
      </c:barChart>
      <c:catAx>
        <c:axId val="10071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0263791"/>
        <c:crosses val="autoZero"/>
        <c:auto val="1"/>
        <c:lblAlgn val="ctr"/>
        <c:lblOffset val="100"/>
        <c:noMultiLvlLbl val="0"/>
      </c:catAx>
      <c:valAx>
        <c:axId val="130263791"/>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1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Phân bố trạng thái KPI theo Objective</a:t>
            </a:r>
          </a:p>
        </c:rich>
      </c:tx>
      <c:layout>
        <c:manualLayout>
          <c:xMode val="edge"/>
          <c:yMode val="edge"/>
          <c:x val="0.2541715911242089"/>
          <c:y val="3.39462467271422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Dashboard!$A$46</c:f>
              <c:strCache>
                <c:ptCount val="1"/>
                <c:pt idx="0">
                  <c:v>Hoàn thành</c:v>
                </c:pt>
              </c:strCache>
            </c:strRef>
          </c:tx>
          <c:spPr>
            <a:solidFill>
              <a:schemeClr val="accent1"/>
            </a:solidFill>
            <a:ln>
              <a:noFill/>
            </a:ln>
            <a:effectLst/>
          </c:spPr>
          <c:invertIfNegative val="0"/>
          <c:cat>
            <c:strRef>
              <c:f>Dashboard!$B$45:$F$45</c:f>
              <c:strCache>
                <c:ptCount val="5"/>
                <c:pt idx="0">
                  <c:v>O1</c:v>
                </c:pt>
                <c:pt idx="1">
                  <c:v>O2</c:v>
                </c:pt>
                <c:pt idx="2">
                  <c:v>O3</c:v>
                </c:pt>
                <c:pt idx="3">
                  <c:v>O4</c:v>
                </c:pt>
                <c:pt idx="4">
                  <c:v>O5</c:v>
                </c:pt>
              </c:strCache>
            </c:strRef>
          </c:cat>
          <c:val>
            <c:numRef>
              <c:f>Dashboard!$B$46:$F$46</c:f>
              <c:numCache>
                <c:formatCode>General</c:formatCode>
                <c:ptCount val="5"/>
                <c:pt idx="0">
                  <c:v>2</c:v>
                </c:pt>
                <c:pt idx="1">
                  <c:v>5</c:v>
                </c:pt>
                <c:pt idx="2">
                  <c:v>3</c:v>
                </c:pt>
                <c:pt idx="3">
                  <c:v>1</c:v>
                </c:pt>
                <c:pt idx="4">
                  <c:v>6</c:v>
                </c:pt>
              </c:numCache>
            </c:numRef>
          </c:val>
          <c:extLst>
            <c:ext xmlns:c16="http://schemas.microsoft.com/office/drawing/2014/chart" uri="{C3380CC4-5D6E-409C-BE32-E72D297353CC}">
              <c16:uniqueId val="{00000000-8B85-4F24-A9B1-0CDEB1CDA7EF}"/>
            </c:ext>
          </c:extLst>
        </c:ser>
        <c:ser>
          <c:idx val="1"/>
          <c:order val="1"/>
          <c:tx>
            <c:strRef>
              <c:f>Dashboard!$A$47</c:f>
              <c:strCache>
                <c:ptCount val="1"/>
                <c:pt idx="0">
                  <c:v>Đang thực hiện</c:v>
                </c:pt>
              </c:strCache>
            </c:strRef>
          </c:tx>
          <c:spPr>
            <a:solidFill>
              <a:schemeClr val="accent2"/>
            </a:solidFill>
            <a:ln>
              <a:noFill/>
            </a:ln>
            <a:effectLst/>
          </c:spPr>
          <c:invertIfNegative val="0"/>
          <c:cat>
            <c:strRef>
              <c:f>Dashboard!$B$45:$F$45</c:f>
              <c:strCache>
                <c:ptCount val="5"/>
                <c:pt idx="0">
                  <c:v>O1</c:v>
                </c:pt>
                <c:pt idx="1">
                  <c:v>O2</c:v>
                </c:pt>
                <c:pt idx="2">
                  <c:v>O3</c:v>
                </c:pt>
                <c:pt idx="3">
                  <c:v>O4</c:v>
                </c:pt>
                <c:pt idx="4">
                  <c:v>O5</c:v>
                </c:pt>
              </c:strCache>
            </c:strRef>
          </c:cat>
          <c:val>
            <c:numRef>
              <c:f>Dashboard!$B$47:$F$47</c:f>
              <c:numCache>
                <c:formatCode>General</c:formatCode>
                <c:ptCount val="5"/>
                <c:pt idx="0">
                  <c:v>0</c:v>
                </c:pt>
                <c:pt idx="1">
                  <c:v>1</c:v>
                </c:pt>
                <c:pt idx="2">
                  <c:v>1</c:v>
                </c:pt>
                <c:pt idx="3">
                  <c:v>0</c:v>
                </c:pt>
                <c:pt idx="4">
                  <c:v>1</c:v>
                </c:pt>
              </c:numCache>
            </c:numRef>
          </c:val>
          <c:extLst>
            <c:ext xmlns:c16="http://schemas.microsoft.com/office/drawing/2014/chart" uri="{C3380CC4-5D6E-409C-BE32-E72D297353CC}">
              <c16:uniqueId val="{00000001-8B85-4F24-A9B1-0CDEB1CDA7EF}"/>
            </c:ext>
          </c:extLst>
        </c:ser>
        <c:ser>
          <c:idx val="2"/>
          <c:order val="2"/>
          <c:tx>
            <c:strRef>
              <c:f>Dashboard!$A$48</c:f>
              <c:strCache>
                <c:ptCount val="1"/>
                <c:pt idx="0">
                  <c:v>Không đạt</c:v>
                </c:pt>
              </c:strCache>
            </c:strRef>
          </c:tx>
          <c:spPr>
            <a:solidFill>
              <a:schemeClr val="accent3"/>
            </a:solidFill>
            <a:ln>
              <a:noFill/>
            </a:ln>
            <a:effectLst/>
          </c:spPr>
          <c:invertIfNegative val="0"/>
          <c:cat>
            <c:strRef>
              <c:f>Dashboard!$B$45:$F$45</c:f>
              <c:strCache>
                <c:ptCount val="5"/>
                <c:pt idx="0">
                  <c:v>O1</c:v>
                </c:pt>
                <c:pt idx="1">
                  <c:v>O2</c:v>
                </c:pt>
                <c:pt idx="2">
                  <c:v>O3</c:v>
                </c:pt>
                <c:pt idx="3">
                  <c:v>O4</c:v>
                </c:pt>
                <c:pt idx="4">
                  <c:v>O5</c:v>
                </c:pt>
              </c:strCache>
            </c:strRef>
          </c:cat>
          <c:val>
            <c:numRef>
              <c:f>Dashboard!$B$48:$F$48</c:f>
              <c:numCache>
                <c:formatCode>General</c:formatCode>
                <c:ptCount val="5"/>
                <c:pt idx="0">
                  <c:v>0</c:v>
                </c:pt>
                <c:pt idx="1">
                  <c:v>2</c:v>
                </c:pt>
                <c:pt idx="2">
                  <c:v>1</c:v>
                </c:pt>
                <c:pt idx="3">
                  <c:v>0</c:v>
                </c:pt>
                <c:pt idx="4">
                  <c:v>1</c:v>
                </c:pt>
              </c:numCache>
            </c:numRef>
          </c:val>
          <c:extLst>
            <c:ext xmlns:c16="http://schemas.microsoft.com/office/drawing/2014/chart" uri="{C3380CC4-5D6E-409C-BE32-E72D297353CC}">
              <c16:uniqueId val="{00000002-8B85-4F24-A9B1-0CDEB1CDA7EF}"/>
            </c:ext>
          </c:extLst>
        </c:ser>
        <c:ser>
          <c:idx val="3"/>
          <c:order val="3"/>
          <c:tx>
            <c:strRef>
              <c:f>Dashboard!$A$49</c:f>
              <c:strCache>
                <c:ptCount val="1"/>
                <c:pt idx="0">
                  <c:v>Chưa đến hạn</c:v>
                </c:pt>
              </c:strCache>
            </c:strRef>
          </c:tx>
          <c:spPr>
            <a:solidFill>
              <a:schemeClr val="accent4"/>
            </a:solidFill>
            <a:ln>
              <a:noFill/>
            </a:ln>
            <a:effectLst/>
          </c:spPr>
          <c:invertIfNegative val="0"/>
          <c:cat>
            <c:strRef>
              <c:f>Dashboard!$B$45:$F$45</c:f>
              <c:strCache>
                <c:ptCount val="5"/>
                <c:pt idx="0">
                  <c:v>O1</c:v>
                </c:pt>
                <c:pt idx="1">
                  <c:v>O2</c:v>
                </c:pt>
                <c:pt idx="2">
                  <c:v>O3</c:v>
                </c:pt>
                <c:pt idx="3">
                  <c:v>O4</c:v>
                </c:pt>
                <c:pt idx="4">
                  <c:v>O5</c:v>
                </c:pt>
              </c:strCache>
            </c:strRef>
          </c:cat>
          <c:val>
            <c:numRef>
              <c:f>Dashboard!$B$49:$F$49</c:f>
              <c:numCache>
                <c:formatCode>General</c:formatCode>
                <c:ptCount val="5"/>
                <c:pt idx="0">
                  <c:v>6</c:v>
                </c:pt>
                <c:pt idx="1">
                  <c:v>0</c:v>
                </c:pt>
                <c:pt idx="2">
                  <c:v>1</c:v>
                </c:pt>
                <c:pt idx="3">
                  <c:v>4</c:v>
                </c:pt>
                <c:pt idx="4">
                  <c:v>2</c:v>
                </c:pt>
              </c:numCache>
            </c:numRef>
          </c:val>
          <c:extLst>
            <c:ext xmlns:c16="http://schemas.microsoft.com/office/drawing/2014/chart" uri="{C3380CC4-5D6E-409C-BE32-E72D297353CC}">
              <c16:uniqueId val="{00000003-8B85-4F24-A9B1-0CDEB1CDA7EF}"/>
            </c:ext>
          </c:extLst>
        </c:ser>
        <c:dLbls>
          <c:showLegendKey val="0"/>
          <c:showVal val="0"/>
          <c:showCatName val="0"/>
          <c:showSerName val="0"/>
          <c:showPercent val="0"/>
          <c:showBubbleSize val="0"/>
        </c:dLbls>
        <c:gapWidth val="150"/>
        <c:overlap val="100"/>
        <c:axId val="1551618383"/>
        <c:axId val="1413329391"/>
      </c:barChart>
      <c:catAx>
        <c:axId val="155161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13329391"/>
        <c:crosses val="autoZero"/>
        <c:auto val="1"/>
        <c:lblAlgn val="ctr"/>
        <c:lblOffset val="100"/>
        <c:noMultiLvlLbl val="0"/>
      </c:catAx>
      <c:valAx>
        <c:axId val="141332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618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247649</xdr:colOff>
      <xdr:row>0</xdr:row>
      <xdr:rowOff>90486</xdr:rowOff>
    </xdr:from>
    <xdr:to>
      <xdr:col>12</xdr:col>
      <xdr:colOff>457200</xdr:colOff>
      <xdr:row>21</xdr:row>
      <xdr:rowOff>161924</xdr:rowOff>
    </xdr:to>
    <xdr:graphicFrame macro="">
      <xdr:nvGraphicFramePr>
        <xdr:cNvPr id="2" name="Chart 1">
          <a:extLst>
            <a:ext uri="{FF2B5EF4-FFF2-40B4-BE49-F238E27FC236}">
              <a16:creationId xmlns:a16="http://schemas.microsoft.com/office/drawing/2014/main" id="{A2286F8B-33C6-A5D7-4D8F-536B1FE30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295274</xdr:colOff>
      <xdr:row>23</xdr:row>
      <xdr:rowOff>176211</xdr:rowOff>
    </xdr:from>
    <xdr:to>
      <xdr:col>11</xdr:col>
      <xdr:colOff>323850</xdr:colOff>
      <xdr:row>41</xdr:row>
      <xdr:rowOff>152400</xdr:rowOff>
    </xdr:to>
    <xdr:graphicFrame macro="">
      <xdr:nvGraphicFramePr>
        <xdr:cNvPr id="3" name="Chart 2">
          <a:extLst>
            <a:ext uri="{FF2B5EF4-FFF2-40B4-BE49-F238E27FC236}">
              <a16:creationId xmlns:a16="http://schemas.microsoft.com/office/drawing/2014/main" id="{3F3D95F5-09B3-F61B-E428-41566A489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104774</xdr:colOff>
      <xdr:row>50</xdr:row>
      <xdr:rowOff>14287</xdr:rowOff>
    </xdr:from>
    <xdr:to>
      <xdr:col>10</xdr:col>
      <xdr:colOff>495300</xdr:colOff>
      <xdr:row>69</xdr:row>
      <xdr:rowOff>28575</xdr:rowOff>
    </xdr:to>
    <xdr:graphicFrame macro="">
      <xdr:nvGraphicFramePr>
        <xdr:cNvPr id="4" name="Chart 3">
          <a:extLst>
            <a:ext uri="{FF2B5EF4-FFF2-40B4-BE49-F238E27FC236}">
              <a16:creationId xmlns:a16="http://schemas.microsoft.com/office/drawing/2014/main" id="{462C7B8F-C7FC-3072-8B8E-8F43CF905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3EA86B-4373-435F-866D-12701C311917}" name="tblData" displayName="tblData" ref="A1:N38" totalsRowShown="0" headerRowDxfId="17" dataDxfId="15" headerRowBorderDxfId="16" tableBorderDxfId="14">
  <autoFilter ref="A1:N38" xr:uid="{FE3EA86B-4373-435F-866D-12701C311917}"/>
  <tableColumns count="14">
    <tableColumn id="1" xr3:uid="{FA4FB65E-61E2-4CBA-9A86-68BBA2479C7D}" name="STT" dataDxfId="13"/>
    <tableColumn id="2" xr3:uid="{658DEA33-86E0-4EF5-A1A8-F237F11A28E3}" name="No" dataDxfId="12"/>
    <tableColumn id="3" xr3:uid="{27153787-4D4D-4348-9096-156A26DF0B20}" name="Objects" dataDxfId="11" dataCellStyle="Normal 2"/>
    <tableColumn id="4" xr3:uid="{E95D6E21-E071-442F-87B1-C467C1AA5E8F}" name="Goals UMP" dataDxfId="10"/>
    <tableColumn id="5" xr3:uid="{4E1EE683-AC46-408E-8D79-5DB06902F787}" name="Goals HCTH" dataDxfId="9"/>
    <tableColumn id="6" xr3:uid="{E9AE7E17-7617-4511-90F9-5DB69F8D090C}" name="Measure (KPI)" dataDxfId="8"/>
    <tableColumn id="7" xr3:uid="{7939FFB8-12E3-4EB0-92A6-B11FD2DAF993}" name="2025" dataDxfId="7"/>
    <tableColumn id="8" xr3:uid="{7F565D39-ACE2-483D-89CA-E65A25D7FA79}" name="2026" dataDxfId="6"/>
    <tableColumn id="9" xr3:uid="{6BC7B45E-41F6-46A7-BFBB-82C9753416A8}" name="2027" dataDxfId="5"/>
    <tableColumn id="10" xr3:uid="{69CDF52A-F662-47AC-B682-21207A301C3F}" name="2028" dataDxfId="4"/>
    <tableColumn id="11" xr3:uid="{95035747-8EC4-4823-B050-565754B4B102}" name="2029" dataDxfId="3"/>
    <tableColumn id="12" xr3:uid="{ED9D4BCD-4CB4-4063-9325-C99E22502442}" name="Năm đích" dataDxfId="2">
      <calculatedColumnFormula>VALUE(INDEX(G$1:K$1,MATCH("x",G2:K2,0)))</calculatedColumnFormula>
    </tableColumn>
    <tableColumn id="13" xr3:uid="{FA29974D-4AD2-472B-8CB3-4B21E17BBC33}" name="Tỷ lệ đạt (%)" dataDxfId="1"/>
    <tableColumn id="14" xr3:uid="{25BF6149-5390-40FB-91C9-21AF78227B05}" name="Trạng thái" dataDxfId="0">
      <calculatedColumnFormula>IF(M2&gt;=100,"Hoàn thành",IF(M2&gt;0,"Đang thực hiện",IF(L2&gt;YEAR(TODAY()),"Chưa đến hạn","Không đạt")))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tabSelected="1" zoomScale="78" zoomScaleNormal="78" workbookViewId="0">
      <selection activeCell="H6" sqref="H6"/>
    </sheetView>
  </sheetViews>
  <sheetFormatPr defaultRowHeight="15"/>
  <cols>
    <col min="1" max="1" width="9.140625" style="38"/>
    <col min="2" max="2" width="14.140625" style="38" customWidth="1"/>
    <col min="3" max="3" width="39.5703125" style="7" customWidth="1"/>
    <col min="4" max="4" width="52.85546875" style="7" customWidth="1"/>
    <col min="5" max="5" width="44.7109375" style="7" customWidth="1"/>
    <col min="6" max="6" width="62.140625" style="7" customWidth="1"/>
    <col min="7" max="7" width="12" style="7" customWidth="1"/>
    <col min="8" max="8" width="11.7109375" style="7" customWidth="1"/>
    <col min="9" max="10" width="12.42578125" style="7" customWidth="1"/>
    <col min="11" max="11" width="11.85546875" style="7" customWidth="1"/>
    <col min="12" max="12" width="17.140625" style="46" customWidth="1"/>
    <col min="13" max="13" width="18.5703125" style="43" customWidth="1"/>
    <col min="14" max="14" width="25" style="49" customWidth="1"/>
    <col min="15" max="16384" width="9.140625" style="7"/>
  </cols>
  <sheetData>
    <row r="1" spans="1:14" s="37" customFormat="1" ht="26.25" customHeight="1">
      <c r="A1" s="10" t="s">
        <v>0</v>
      </c>
      <c r="B1" s="11" t="s">
        <v>70</v>
      </c>
      <c r="C1" s="11" t="s">
        <v>64</v>
      </c>
      <c r="D1" s="11" t="s">
        <v>1</v>
      </c>
      <c r="E1" s="11" t="s">
        <v>2</v>
      </c>
      <c r="F1" s="11" t="s">
        <v>3</v>
      </c>
      <c r="G1" s="16" t="s">
        <v>93</v>
      </c>
      <c r="H1" s="16" t="s">
        <v>94</v>
      </c>
      <c r="I1" s="16" t="s">
        <v>95</v>
      </c>
      <c r="J1" s="16" t="s">
        <v>96</v>
      </c>
      <c r="K1" s="16" t="s">
        <v>97</v>
      </c>
      <c r="L1" s="44" t="s">
        <v>77</v>
      </c>
      <c r="M1" s="39" t="s">
        <v>4</v>
      </c>
      <c r="N1" s="47" t="s">
        <v>78</v>
      </c>
    </row>
    <row r="2" spans="1:14" ht="47.25">
      <c r="A2" s="9">
        <v>1</v>
      </c>
      <c r="B2" s="17" t="s">
        <v>88</v>
      </c>
      <c r="C2" s="18" t="s">
        <v>65</v>
      </c>
      <c r="D2" s="3" t="s">
        <v>5</v>
      </c>
      <c r="E2" s="3" t="s">
        <v>6</v>
      </c>
      <c r="F2" s="3" t="s">
        <v>7</v>
      </c>
      <c r="G2" s="4"/>
      <c r="H2" s="4"/>
      <c r="I2" s="4"/>
      <c r="J2" s="4"/>
      <c r="K2" s="4" t="s">
        <v>87</v>
      </c>
      <c r="L2" s="45">
        <f t="shared" ref="L2:L37" si="0">VALUE(INDEX(G$1:K$1,MATCH("x",G2:K2,0)))</f>
        <v>2029</v>
      </c>
      <c r="M2" s="40">
        <v>0</v>
      </c>
      <c r="N2" s="48" t="str">
        <f t="shared" ref="N2:N37" ca="1" si="1">IF(M2&gt;=100,"Hoàn thành",IF(M2&gt;0,"Đang thực hiện",IF(L2&gt;YEAR(TODAY()),"Chưa đến hạn","Không đạt")))</f>
        <v>Chưa đến hạn</v>
      </c>
    </row>
    <row r="3" spans="1:14" ht="47.25">
      <c r="A3" s="9">
        <v>2</v>
      </c>
      <c r="B3" s="1" t="s">
        <v>88</v>
      </c>
      <c r="C3" s="2" t="s">
        <v>65</v>
      </c>
      <c r="D3" s="3" t="s">
        <v>5</v>
      </c>
      <c r="E3" s="3" t="s">
        <v>6</v>
      </c>
      <c r="F3" s="3" t="s">
        <v>8</v>
      </c>
      <c r="G3" s="4"/>
      <c r="H3" s="4"/>
      <c r="I3" s="4"/>
      <c r="J3" s="4"/>
      <c r="K3" s="4" t="s">
        <v>87</v>
      </c>
      <c r="L3" s="45">
        <f t="shared" si="0"/>
        <v>2029</v>
      </c>
      <c r="M3" s="40">
        <v>100</v>
      </c>
      <c r="N3" s="48" t="str">
        <f t="shared" ca="1" si="1"/>
        <v>Hoàn thành</v>
      </c>
    </row>
    <row r="4" spans="1:14" ht="63">
      <c r="A4" s="9">
        <v>3</v>
      </c>
      <c r="B4" s="1" t="s">
        <v>88</v>
      </c>
      <c r="C4" s="2" t="s">
        <v>65</v>
      </c>
      <c r="D4" s="3" t="s">
        <v>9</v>
      </c>
      <c r="E4" s="3" t="s">
        <v>10</v>
      </c>
      <c r="F4" s="3" t="s">
        <v>11</v>
      </c>
      <c r="G4" s="4"/>
      <c r="H4" s="4"/>
      <c r="I4" s="4" t="s">
        <v>87</v>
      </c>
      <c r="J4" s="4" t="s">
        <v>87</v>
      </c>
      <c r="K4" s="4" t="s">
        <v>87</v>
      </c>
      <c r="L4" s="45">
        <f t="shared" si="0"/>
        <v>2027</v>
      </c>
      <c r="M4" s="40">
        <v>100</v>
      </c>
      <c r="N4" s="48" t="str">
        <f t="shared" ca="1" si="1"/>
        <v>Hoàn thành</v>
      </c>
    </row>
    <row r="5" spans="1:14" ht="63">
      <c r="A5" s="9">
        <v>4</v>
      </c>
      <c r="B5" s="1" t="s">
        <v>88</v>
      </c>
      <c r="C5" s="2" t="s">
        <v>65</v>
      </c>
      <c r="D5" s="3" t="s">
        <v>9</v>
      </c>
      <c r="E5" s="3" t="s">
        <v>10</v>
      </c>
      <c r="F5" s="3" t="s">
        <v>12</v>
      </c>
      <c r="G5" s="4"/>
      <c r="H5" s="4"/>
      <c r="I5" s="4" t="s">
        <v>87</v>
      </c>
      <c r="J5" s="4" t="s">
        <v>87</v>
      </c>
      <c r="K5" s="4" t="s">
        <v>87</v>
      </c>
      <c r="L5" s="45">
        <f t="shared" si="0"/>
        <v>2027</v>
      </c>
      <c r="M5" s="40">
        <v>100</v>
      </c>
      <c r="N5" s="48" t="str">
        <f t="shared" ca="1" si="1"/>
        <v>Hoàn thành</v>
      </c>
    </row>
    <row r="6" spans="1:14" ht="63">
      <c r="A6" s="9">
        <v>5</v>
      </c>
      <c r="B6" s="1" t="s">
        <v>88</v>
      </c>
      <c r="C6" s="2" t="s">
        <v>65</v>
      </c>
      <c r="D6" s="3" t="s">
        <v>9</v>
      </c>
      <c r="E6" s="3" t="s">
        <v>10</v>
      </c>
      <c r="F6" s="3" t="s">
        <v>13</v>
      </c>
      <c r="G6" s="4"/>
      <c r="H6" s="4"/>
      <c r="I6" s="4" t="s">
        <v>87</v>
      </c>
      <c r="J6" s="4" t="s">
        <v>87</v>
      </c>
      <c r="K6" s="4" t="s">
        <v>87</v>
      </c>
      <c r="L6" s="45">
        <f t="shared" si="0"/>
        <v>2027</v>
      </c>
      <c r="M6" s="40">
        <v>0</v>
      </c>
      <c r="N6" s="48" t="str">
        <f t="shared" ca="1" si="1"/>
        <v>Chưa đến hạn</v>
      </c>
    </row>
    <row r="7" spans="1:14" ht="31.5">
      <c r="A7" s="9">
        <v>6</v>
      </c>
      <c r="B7" s="1" t="s">
        <v>88</v>
      </c>
      <c r="C7" s="2" t="s">
        <v>65</v>
      </c>
      <c r="D7" s="3" t="s">
        <v>14</v>
      </c>
      <c r="E7" s="3" t="s">
        <v>15</v>
      </c>
      <c r="F7" s="3" t="s">
        <v>16</v>
      </c>
      <c r="G7" s="4"/>
      <c r="H7" s="4" t="s">
        <v>87</v>
      </c>
      <c r="I7" s="4" t="s">
        <v>87</v>
      </c>
      <c r="J7" s="4" t="s">
        <v>87</v>
      </c>
      <c r="K7" s="4" t="s">
        <v>87</v>
      </c>
      <c r="L7" s="45">
        <f t="shared" si="0"/>
        <v>2026</v>
      </c>
      <c r="M7" s="40">
        <v>100</v>
      </c>
      <c r="N7" s="48" t="str">
        <f t="shared" ca="1" si="1"/>
        <v>Hoàn thành</v>
      </c>
    </row>
    <row r="8" spans="1:14" ht="31.5">
      <c r="A8" s="9">
        <v>7</v>
      </c>
      <c r="B8" s="1" t="s">
        <v>88</v>
      </c>
      <c r="C8" s="2" t="s">
        <v>65</v>
      </c>
      <c r="D8" s="3" t="s">
        <v>14</v>
      </c>
      <c r="E8" s="3" t="s">
        <v>15</v>
      </c>
      <c r="F8" s="3" t="s">
        <v>17</v>
      </c>
      <c r="G8" s="4"/>
      <c r="H8" s="4" t="s">
        <v>87</v>
      </c>
      <c r="I8" s="4" t="s">
        <v>87</v>
      </c>
      <c r="J8" s="4" t="s">
        <v>87</v>
      </c>
      <c r="K8" s="4" t="s">
        <v>87</v>
      </c>
      <c r="L8" s="45">
        <f t="shared" si="0"/>
        <v>2026</v>
      </c>
      <c r="M8" s="40">
        <v>100</v>
      </c>
      <c r="N8" s="48" t="str">
        <f t="shared" ca="1" si="1"/>
        <v>Hoàn thành</v>
      </c>
    </row>
    <row r="9" spans="1:14" ht="31.5">
      <c r="A9" s="9">
        <v>8</v>
      </c>
      <c r="B9" s="1" t="s">
        <v>88</v>
      </c>
      <c r="C9" s="2" t="s">
        <v>65</v>
      </c>
      <c r="D9" s="3" t="s">
        <v>14</v>
      </c>
      <c r="E9" s="3" t="s">
        <v>15</v>
      </c>
      <c r="F9" s="3" t="s">
        <v>18</v>
      </c>
      <c r="G9" s="4"/>
      <c r="H9" s="4"/>
      <c r="I9" s="4"/>
      <c r="J9" s="4" t="s">
        <v>87</v>
      </c>
      <c r="K9" s="4" t="s">
        <v>87</v>
      </c>
      <c r="L9" s="45">
        <f t="shared" si="0"/>
        <v>2028</v>
      </c>
      <c r="M9" s="40">
        <v>0</v>
      </c>
      <c r="N9" s="48" t="str">
        <f t="shared" ca="1" si="1"/>
        <v>Chưa đến hạn</v>
      </c>
    </row>
    <row r="10" spans="1:14" ht="47.25">
      <c r="A10" s="9">
        <v>9</v>
      </c>
      <c r="B10" s="1" t="s">
        <v>89</v>
      </c>
      <c r="C10" s="2" t="s">
        <v>66</v>
      </c>
      <c r="D10" s="3" t="s">
        <v>19</v>
      </c>
      <c r="E10" s="3" t="s">
        <v>20</v>
      </c>
      <c r="F10" s="3" t="s">
        <v>21</v>
      </c>
      <c r="G10" s="4"/>
      <c r="H10" s="4" t="s">
        <v>87</v>
      </c>
      <c r="I10" s="4" t="s">
        <v>87</v>
      </c>
      <c r="J10" s="4" t="s">
        <v>87</v>
      </c>
      <c r="K10" s="4" t="s">
        <v>87</v>
      </c>
      <c r="L10" s="45">
        <f t="shared" si="0"/>
        <v>2026</v>
      </c>
      <c r="M10" s="40">
        <v>100</v>
      </c>
      <c r="N10" s="48" t="str">
        <f t="shared" ca="1" si="1"/>
        <v>Hoàn thành</v>
      </c>
    </row>
    <row r="11" spans="1:14" ht="47.25">
      <c r="A11" s="9">
        <v>10</v>
      </c>
      <c r="B11" s="1" t="s">
        <v>89</v>
      </c>
      <c r="C11" s="2" t="s">
        <v>66</v>
      </c>
      <c r="D11" s="3" t="s">
        <v>19</v>
      </c>
      <c r="E11" s="3" t="s">
        <v>20</v>
      </c>
      <c r="F11" s="3" t="s">
        <v>22</v>
      </c>
      <c r="G11" s="4"/>
      <c r="H11" s="4" t="s">
        <v>87</v>
      </c>
      <c r="I11" s="4" t="s">
        <v>87</v>
      </c>
      <c r="J11" s="4" t="s">
        <v>87</v>
      </c>
      <c r="K11" s="4" t="s">
        <v>87</v>
      </c>
      <c r="L11" s="45">
        <f t="shared" si="0"/>
        <v>2026</v>
      </c>
      <c r="M11" s="40">
        <v>100</v>
      </c>
      <c r="N11" s="48" t="str">
        <f t="shared" ca="1" si="1"/>
        <v>Hoàn thành</v>
      </c>
    </row>
    <row r="12" spans="1:14" ht="47.25">
      <c r="A12" s="9">
        <v>11</v>
      </c>
      <c r="B12" s="1" t="s">
        <v>89</v>
      </c>
      <c r="C12" s="2" t="s">
        <v>66</v>
      </c>
      <c r="D12" s="3" t="s">
        <v>23</v>
      </c>
      <c r="E12" s="3" t="s">
        <v>24</v>
      </c>
      <c r="F12" s="3" t="s">
        <v>25</v>
      </c>
      <c r="G12" s="4"/>
      <c r="H12" s="4" t="s">
        <v>87</v>
      </c>
      <c r="I12" s="4" t="s">
        <v>87</v>
      </c>
      <c r="J12" s="4" t="s">
        <v>87</v>
      </c>
      <c r="K12" s="4" t="s">
        <v>87</v>
      </c>
      <c r="L12" s="45">
        <f t="shared" si="0"/>
        <v>2026</v>
      </c>
      <c r="M12" s="40">
        <v>100</v>
      </c>
      <c r="N12" s="48" t="str">
        <f t="shared" ca="1" si="1"/>
        <v>Hoàn thành</v>
      </c>
    </row>
    <row r="13" spans="1:14" ht="47.25">
      <c r="A13" s="9">
        <v>12</v>
      </c>
      <c r="B13" s="1" t="s">
        <v>89</v>
      </c>
      <c r="C13" s="2" t="s">
        <v>66</v>
      </c>
      <c r="D13" s="3" t="s">
        <v>23</v>
      </c>
      <c r="E13" s="3" t="s">
        <v>24</v>
      </c>
      <c r="F13" s="3" t="s">
        <v>26</v>
      </c>
      <c r="G13" s="4"/>
      <c r="H13" s="4" t="s">
        <v>87</v>
      </c>
      <c r="I13" s="4" t="s">
        <v>87</v>
      </c>
      <c r="J13" s="4" t="s">
        <v>87</v>
      </c>
      <c r="K13" s="4" t="s">
        <v>87</v>
      </c>
      <c r="L13" s="45">
        <f t="shared" si="0"/>
        <v>2026</v>
      </c>
      <c r="M13" s="40">
        <v>100</v>
      </c>
      <c r="N13" s="48" t="str">
        <f t="shared" ca="1" si="1"/>
        <v>Hoàn thành</v>
      </c>
    </row>
    <row r="14" spans="1:14" ht="78.75">
      <c r="A14" s="9">
        <v>13</v>
      </c>
      <c r="B14" s="1" t="s">
        <v>89</v>
      </c>
      <c r="C14" s="2" t="s">
        <v>66</v>
      </c>
      <c r="D14" s="3" t="s">
        <v>27</v>
      </c>
      <c r="E14" s="3" t="s">
        <v>28</v>
      </c>
      <c r="F14" s="3" t="s">
        <v>29</v>
      </c>
      <c r="G14" s="4"/>
      <c r="H14" s="4" t="s">
        <v>87</v>
      </c>
      <c r="I14" s="4" t="s">
        <v>87</v>
      </c>
      <c r="J14" s="4" t="s">
        <v>87</v>
      </c>
      <c r="K14" s="4" t="s">
        <v>87</v>
      </c>
      <c r="L14" s="45">
        <f t="shared" si="0"/>
        <v>2026</v>
      </c>
      <c r="M14" s="40">
        <v>60</v>
      </c>
      <c r="N14" s="48" t="str">
        <f t="shared" ca="1" si="1"/>
        <v>Đang thực hiện</v>
      </c>
    </row>
    <row r="15" spans="1:14" ht="78.75">
      <c r="A15" s="9">
        <v>14</v>
      </c>
      <c r="B15" s="1" t="s">
        <v>89</v>
      </c>
      <c r="C15" s="2" t="s">
        <v>66</v>
      </c>
      <c r="D15" s="3" t="s">
        <v>27</v>
      </c>
      <c r="E15" s="3" t="s">
        <v>28</v>
      </c>
      <c r="F15" s="3" t="s">
        <v>72</v>
      </c>
      <c r="G15" s="4"/>
      <c r="H15" s="4" t="s">
        <v>87</v>
      </c>
      <c r="I15" s="4" t="s">
        <v>87</v>
      </c>
      <c r="J15" s="4" t="s">
        <v>87</v>
      </c>
      <c r="K15" s="4" t="s">
        <v>87</v>
      </c>
      <c r="L15" s="45">
        <f t="shared" si="0"/>
        <v>2026</v>
      </c>
      <c r="M15" s="40">
        <v>0</v>
      </c>
      <c r="N15" s="48" t="str">
        <f t="shared" ca="1" si="1"/>
        <v>Không đạt</v>
      </c>
    </row>
    <row r="16" spans="1:14" ht="78.75">
      <c r="A16" s="9">
        <v>15</v>
      </c>
      <c r="B16" s="1" t="s">
        <v>89</v>
      </c>
      <c r="C16" s="2" t="s">
        <v>66</v>
      </c>
      <c r="D16" s="3" t="s">
        <v>27</v>
      </c>
      <c r="E16" s="3" t="s">
        <v>28</v>
      </c>
      <c r="F16" s="3" t="s">
        <v>73</v>
      </c>
      <c r="G16" s="4"/>
      <c r="H16" s="4" t="s">
        <v>87</v>
      </c>
      <c r="I16" s="4" t="s">
        <v>87</v>
      </c>
      <c r="J16" s="4" t="s">
        <v>87</v>
      </c>
      <c r="K16" s="4" t="s">
        <v>87</v>
      </c>
      <c r="L16" s="45">
        <f t="shared" si="0"/>
        <v>2026</v>
      </c>
      <c r="M16" s="40">
        <v>100</v>
      </c>
      <c r="N16" s="48" t="str">
        <f t="shared" ca="1" si="1"/>
        <v>Hoàn thành</v>
      </c>
    </row>
    <row r="17" spans="1:14" ht="78.75">
      <c r="A17" s="9">
        <v>16</v>
      </c>
      <c r="B17" s="1" t="s">
        <v>89</v>
      </c>
      <c r="C17" s="2" t="s">
        <v>66</v>
      </c>
      <c r="D17" s="3" t="s">
        <v>27</v>
      </c>
      <c r="E17" s="3" t="s">
        <v>28</v>
      </c>
      <c r="F17" s="3" t="s">
        <v>74</v>
      </c>
      <c r="G17" s="4"/>
      <c r="H17" s="4" t="s">
        <v>87</v>
      </c>
      <c r="I17" s="4" t="s">
        <v>87</v>
      </c>
      <c r="J17" s="4" t="s">
        <v>87</v>
      </c>
      <c r="K17" s="4" t="s">
        <v>87</v>
      </c>
      <c r="L17" s="45">
        <f t="shared" si="0"/>
        <v>2026</v>
      </c>
      <c r="M17" s="40">
        <v>0</v>
      </c>
      <c r="N17" s="48" t="str">
        <f t="shared" ca="1" si="1"/>
        <v>Không đạt</v>
      </c>
    </row>
    <row r="18" spans="1:14" ht="47.25">
      <c r="A18" s="9">
        <v>17</v>
      </c>
      <c r="B18" s="1" t="s">
        <v>90</v>
      </c>
      <c r="C18" s="5" t="s">
        <v>67</v>
      </c>
      <c r="D18" s="3" t="s">
        <v>30</v>
      </c>
      <c r="E18" s="3" t="s">
        <v>31</v>
      </c>
      <c r="F18" s="3" t="s">
        <v>32</v>
      </c>
      <c r="G18" s="4"/>
      <c r="H18" s="4" t="s">
        <v>87</v>
      </c>
      <c r="I18" s="4" t="s">
        <v>87</v>
      </c>
      <c r="J18" s="4" t="s">
        <v>87</v>
      </c>
      <c r="K18" s="4" t="s">
        <v>87</v>
      </c>
      <c r="L18" s="45">
        <f t="shared" si="0"/>
        <v>2026</v>
      </c>
      <c r="M18" s="40">
        <v>100</v>
      </c>
      <c r="N18" s="48" t="str">
        <f t="shared" ca="1" si="1"/>
        <v>Hoàn thành</v>
      </c>
    </row>
    <row r="19" spans="1:14" ht="47.25">
      <c r="A19" s="9">
        <v>18</v>
      </c>
      <c r="B19" s="1" t="s">
        <v>90</v>
      </c>
      <c r="C19" s="5" t="s">
        <v>67</v>
      </c>
      <c r="D19" s="3" t="s">
        <v>30</v>
      </c>
      <c r="E19" s="3" t="s">
        <v>31</v>
      </c>
      <c r="F19" s="3" t="s">
        <v>33</v>
      </c>
      <c r="G19" s="4"/>
      <c r="H19" s="4" t="s">
        <v>87</v>
      </c>
      <c r="I19" s="4" t="s">
        <v>87</v>
      </c>
      <c r="J19" s="4" t="s">
        <v>87</v>
      </c>
      <c r="K19" s="4" t="s">
        <v>87</v>
      </c>
      <c r="L19" s="45">
        <f t="shared" si="0"/>
        <v>2026</v>
      </c>
      <c r="M19" s="40">
        <v>100</v>
      </c>
      <c r="N19" s="48" t="str">
        <f t="shared" ca="1" si="1"/>
        <v>Hoàn thành</v>
      </c>
    </row>
    <row r="20" spans="1:14" ht="47.25">
      <c r="A20" s="9">
        <v>19</v>
      </c>
      <c r="B20" s="1" t="s">
        <v>90</v>
      </c>
      <c r="C20" s="5" t="s">
        <v>67</v>
      </c>
      <c r="D20" s="3" t="s">
        <v>34</v>
      </c>
      <c r="E20" s="3" t="s">
        <v>35</v>
      </c>
      <c r="F20" s="3" t="s">
        <v>36</v>
      </c>
      <c r="G20" s="4"/>
      <c r="H20" s="4" t="s">
        <v>87</v>
      </c>
      <c r="I20" s="4" t="s">
        <v>87</v>
      </c>
      <c r="J20" s="4" t="s">
        <v>87</v>
      </c>
      <c r="K20" s="4" t="s">
        <v>87</v>
      </c>
      <c r="L20" s="45">
        <f t="shared" si="0"/>
        <v>2026</v>
      </c>
      <c r="M20" s="40">
        <v>0</v>
      </c>
      <c r="N20" s="48" t="str">
        <f t="shared" ca="1" si="1"/>
        <v>Không đạt</v>
      </c>
    </row>
    <row r="21" spans="1:14" ht="47.25">
      <c r="A21" s="9">
        <v>20</v>
      </c>
      <c r="B21" s="1" t="s">
        <v>90</v>
      </c>
      <c r="C21" s="5" t="s">
        <v>67</v>
      </c>
      <c r="D21" s="3" t="s">
        <v>34</v>
      </c>
      <c r="E21" s="3" t="s">
        <v>35</v>
      </c>
      <c r="F21" s="3" t="s">
        <v>37</v>
      </c>
      <c r="G21" s="4"/>
      <c r="H21" s="4" t="s">
        <v>87</v>
      </c>
      <c r="I21" s="4" t="s">
        <v>87</v>
      </c>
      <c r="J21" s="4" t="s">
        <v>87</v>
      </c>
      <c r="K21" s="4" t="s">
        <v>87</v>
      </c>
      <c r="L21" s="45">
        <f t="shared" si="0"/>
        <v>2026</v>
      </c>
      <c r="M21" s="40">
        <v>50</v>
      </c>
      <c r="N21" s="48" t="str">
        <f t="shared" ca="1" si="1"/>
        <v>Đang thực hiện</v>
      </c>
    </row>
    <row r="22" spans="1:14" ht="63">
      <c r="A22" s="9">
        <v>21</v>
      </c>
      <c r="B22" s="1" t="s">
        <v>90</v>
      </c>
      <c r="C22" s="5" t="s">
        <v>67</v>
      </c>
      <c r="D22" s="3" t="s">
        <v>38</v>
      </c>
      <c r="E22" s="3" t="s">
        <v>39</v>
      </c>
      <c r="F22" s="3" t="s">
        <v>40</v>
      </c>
      <c r="G22" s="4"/>
      <c r="H22" s="4" t="s">
        <v>87</v>
      </c>
      <c r="I22" s="4" t="s">
        <v>87</v>
      </c>
      <c r="J22" s="4" t="s">
        <v>87</v>
      </c>
      <c r="K22" s="4" t="s">
        <v>87</v>
      </c>
      <c r="L22" s="45">
        <f t="shared" si="0"/>
        <v>2026</v>
      </c>
      <c r="M22" s="40">
        <v>100</v>
      </c>
      <c r="N22" s="48" t="str">
        <f t="shared" ca="1" si="1"/>
        <v>Hoàn thành</v>
      </c>
    </row>
    <row r="23" spans="1:14" ht="63">
      <c r="A23" s="9">
        <v>22</v>
      </c>
      <c r="B23" s="1" t="s">
        <v>90</v>
      </c>
      <c r="C23" s="5" t="s">
        <v>67</v>
      </c>
      <c r="D23" s="3" t="s">
        <v>38</v>
      </c>
      <c r="E23" s="3" t="s">
        <v>39</v>
      </c>
      <c r="F23" s="3" t="s">
        <v>41</v>
      </c>
      <c r="G23" s="4"/>
      <c r="H23" s="4"/>
      <c r="I23" s="4" t="s">
        <v>87</v>
      </c>
      <c r="J23" s="4" t="s">
        <v>87</v>
      </c>
      <c r="K23" s="4" t="s">
        <v>87</v>
      </c>
      <c r="L23" s="45">
        <f t="shared" si="0"/>
        <v>2027</v>
      </c>
      <c r="M23" s="40">
        <v>0</v>
      </c>
      <c r="N23" s="48" t="str">
        <f t="shared" ca="1" si="1"/>
        <v>Chưa đến hạn</v>
      </c>
    </row>
    <row r="24" spans="1:14" ht="31.5">
      <c r="A24" s="9">
        <v>23</v>
      </c>
      <c r="B24" s="1" t="s">
        <v>91</v>
      </c>
      <c r="C24" s="5" t="s">
        <v>68</v>
      </c>
      <c r="D24" s="6" t="s">
        <v>71</v>
      </c>
      <c r="E24" s="6" t="s">
        <v>71</v>
      </c>
      <c r="F24" s="3" t="s">
        <v>75</v>
      </c>
      <c r="G24" s="4"/>
      <c r="I24" s="4" t="s">
        <v>87</v>
      </c>
      <c r="J24" s="4"/>
      <c r="K24" s="4"/>
      <c r="L24" s="45">
        <f t="shared" si="0"/>
        <v>2027</v>
      </c>
      <c r="M24" s="40">
        <v>0</v>
      </c>
      <c r="N24" s="48" t="str">
        <f t="shared" ca="1" si="1"/>
        <v>Chưa đến hạn</v>
      </c>
    </row>
    <row r="25" spans="1:14" ht="31.5">
      <c r="A25" s="9">
        <v>24</v>
      </c>
      <c r="B25" s="1" t="s">
        <v>91</v>
      </c>
      <c r="C25" s="5" t="s">
        <v>68</v>
      </c>
      <c r="D25" s="3" t="s">
        <v>42</v>
      </c>
      <c r="E25" s="3" t="s">
        <v>43</v>
      </c>
      <c r="F25" s="3" t="s">
        <v>44</v>
      </c>
      <c r="G25" s="4" t="s">
        <v>87</v>
      </c>
      <c r="H25" s="4" t="s">
        <v>87</v>
      </c>
      <c r="I25" s="4" t="s">
        <v>87</v>
      </c>
      <c r="J25" s="4" t="s">
        <v>87</v>
      </c>
      <c r="K25" s="4" t="s">
        <v>87</v>
      </c>
      <c r="L25" s="45">
        <f t="shared" si="0"/>
        <v>2025</v>
      </c>
      <c r="M25" s="40">
        <v>100</v>
      </c>
      <c r="N25" s="48" t="str">
        <f t="shared" ca="1" si="1"/>
        <v>Hoàn thành</v>
      </c>
    </row>
    <row r="26" spans="1:14" ht="31.5">
      <c r="A26" s="9">
        <v>25</v>
      </c>
      <c r="B26" s="1" t="s">
        <v>91</v>
      </c>
      <c r="C26" s="5" t="s">
        <v>68</v>
      </c>
      <c r="D26" s="3" t="s">
        <v>45</v>
      </c>
      <c r="E26" s="3" t="s">
        <v>46</v>
      </c>
      <c r="F26" s="3" t="s">
        <v>47</v>
      </c>
      <c r="G26" s="4"/>
      <c r="H26" s="8"/>
      <c r="I26" s="4" t="s">
        <v>87</v>
      </c>
      <c r="J26" s="4"/>
      <c r="K26" s="4"/>
      <c r="L26" s="45">
        <f t="shared" si="0"/>
        <v>2027</v>
      </c>
      <c r="M26" s="40">
        <v>0</v>
      </c>
      <c r="N26" s="48" t="str">
        <f t="shared" ca="1" si="1"/>
        <v>Chưa đến hạn</v>
      </c>
    </row>
    <row r="27" spans="1:14" ht="31.5">
      <c r="A27" s="9">
        <v>26</v>
      </c>
      <c r="B27" s="1" t="s">
        <v>91</v>
      </c>
      <c r="C27" s="5" t="s">
        <v>68</v>
      </c>
      <c r="D27" s="3" t="s">
        <v>45</v>
      </c>
      <c r="E27" s="3" t="s">
        <v>46</v>
      </c>
      <c r="F27" s="3" t="s">
        <v>76</v>
      </c>
      <c r="G27" s="4"/>
      <c r="H27" s="8"/>
      <c r="I27" s="4" t="s">
        <v>87</v>
      </c>
      <c r="J27" s="4"/>
      <c r="K27" s="4"/>
      <c r="L27" s="45">
        <f t="shared" si="0"/>
        <v>2027</v>
      </c>
      <c r="M27" s="40">
        <v>0</v>
      </c>
      <c r="N27" s="48" t="str">
        <f t="shared" ca="1" si="1"/>
        <v>Chưa đến hạn</v>
      </c>
    </row>
    <row r="28" spans="1:14" ht="31.5">
      <c r="A28" s="9">
        <v>27</v>
      </c>
      <c r="B28" s="1" t="s">
        <v>91</v>
      </c>
      <c r="C28" s="5" t="s">
        <v>68</v>
      </c>
      <c r="D28" s="3" t="s">
        <v>45</v>
      </c>
      <c r="E28" s="3" t="s">
        <v>46</v>
      </c>
      <c r="F28" s="3" t="s">
        <v>48</v>
      </c>
      <c r="G28" s="4"/>
      <c r="H28" s="4"/>
      <c r="I28" s="4" t="s">
        <v>87</v>
      </c>
      <c r="J28" s="4" t="s">
        <v>87</v>
      </c>
      <c r="K28" s="4" t="s">
        <v>87</v>
      </c>
      <c r="L28" s="45">
        <f t="shared" si="0"/>
        <v>2027</v>
      </c>
      <c r="M28" s="40">
        <v>0</v>
      </c>
      <c r="N28" s="48" t="str">
        <f t="shared" ca="1" si="1"/>
        <v>Chưa đến hạn</v>
      </c>
    </row>
    <row r="29" spans="1:14" ht="31.5">
      <c r="A29" s="9">
        <v>28</v>
      </c>
      <c r="B29" s="1" t="s">
        <v>92</v>
      </c>
      <c r="C29" s="5" t="s">
        <v>69</v>
      </c>
      <c r="D29" s="3" t="s">
        <v>49</v>
      </c>
      <c r="E29" s="3" t="s">
        <v>50</v>
      </c>
      <c r="F29" s="3" t="s">
        <v>51</v>
      </c>
      <c r="G29" s="4"/>
      <c r="H29" s="4" t="s">
        <v>87</v>
      </c>
      <c r="I29" s="4" t="s">
        <v>87</v>
      </c>
      <c r="J29" s="4" t="s">
        <v>87</v>
      </c>
      <c r="K29" s="4" t="s">
        <v>87</v>
      </c>
      <c r="L29" s="45">
        <f t="shared" si="0"/>
        <v>2026</v>
      </c>
      <c r="M29" s="40">
        <v>100</v>
      </c>
      <c r="N29" s="48" t="str">
        <f t="shared" ca="1" si="1"/>
        <v>Hoàn thành</v>
      </c>
    </row>
    <row r="30" spans="1:14" ht="31.5">
      <c r="A30" s="9">
        <v>29</v>
      </c>
      <c r="B30" s="1" t="s">
        <v>92</v>
      </c>
      <c r="C30" s="5" t="s">
        <v>69</v>
      </c>
      <c r="D30" s="3" t="s">
        <v>49</v>
      </c>
      <c r="E30" s="3" t="s">
        <v>50</v>
      </c>
      <c r="F30" s="3" t="s">
        <v>52</v>
      </c>
      <c r="G30" s="4"/>
      <c r="H30" s="4" t="s">
        <v>87</v>
      </c>
      <c r="I30" s="4" t="s">
        <v>87</v>
      </c>
      <c r="J30" s="4" t="s">
        <v>87</v>
      </c>
      <c r="K30" s="4" t="s">
        <v>87</v>
      </c>
      <c r="L30" s="45">
        <f t="shared" si="0"/>
        <v>2026</v>
      </c>
      <c r="M30" s="40">
        <v>100</v>
      </c>
      <c r="N30" s="48" t="str">
        <f t="shared" ca="1" si="1"/>
        <v>Hoàn thành</v>
      </c>
    </row>
    <row r="31" spans="1:14" ht="31.5">
      <c r="A31" s="9">
        <v>30</v>
      </c>
      <c r="B31" s="1" t="s">
        <v>92</v>
      </c>
      <c r="C31" s="5" t="s">
        <v>69</v>
      </c>
      <c r="D31" s="3" t="s">
        <v>49</v>
      </c>
      <c r="E31" s="3" t="s">
        <v>50</v>
      </c>
      <c r="F31" s="3" t="s">
        <v>53</v>
      </c>
      <c r="G31" s="4"/>
      <c r="H31" s="4" t="s">
        <v>87</v>
      </c>
      <c r="I31" s="4" t="s">
        <v>87</v>
      </c>
      <c r="J31" s="4" t="s">
        <v>87</v>
      </c>
      <c r="K31" s="4" t="s">
        <v>87</v>
      </c>
      <c r="L31" s="45">
        <f t="shared" si="0"/>
        <v>2026</v>
      </c>
      <c r="M31" s="40">
        <v>100</v>
      </c>
      <c r="N31" s="48" t="str">
        <f t="shared" ca="1" si="1"/>
        <v>Hoàn thành</v>
      </c>
    </row>
    <row r="32" spans="1:14" ht="47.25">
      <c r="A32" s="9">
        <v>31</v>
      </c>
      <c r="B32" s="1" t="s">
        <v>92</v>
      </c>
      <c r="C32" s="5" t="s">
        <v>69</v>
      </c>
      <c r="D32" s="3" t="s">
        <v>54</v>
      </c>
      <c r="E32" s="3" t="s">
        <v>55</v>
      </c>
      <c r="F32" s="3" t="s">
        <v>56</v>
      </c>
      <c r="G32" s="4"/>
      <c r="H32" s="4" t="s">
        <v>87</v>
      </c>
      <c r="I32" s="4"/>
      <c r="J32" s="4"/>
      <c r="K32" s="4"/>
      <c r="L32" s="45">
        <f t="shared" si="0"/>
        <v>2026</v>
      </c>
      <c r="M32" s="40">
        <v>90</v>
      </c>
      <c r="N32" s="48" t="str">
        <f t="shared" ca="1" si="1"/>
        <v>Đang thực hiện</v>
      </c>
    </row>
    <row r="33" spans="1:14" ht="47.25">
      <c r="A33" s="9">
        <v>32</v>
      </c>
      <c r="B33" s="1" t="s">
        <v>92</v>
      </c>
      <c r="C33" s="5" t="s">
        <v>69</v>
      </c>
      <c r="D33" s="3" t="s">
        <v>54</v>
      </c>
      <c r="E33" s="3" t="s">
        <v>55</v>
      </c>
      <c r="F33" s="3" t="s">
        <v>57</v>
      </c>
      <c r="G33" s="4"/>
      <c r="H33" s="4"/>
      <c r="I33" s="4"/>
      <c r="J33" s="4" t="s">
        <v>87</v>
      </c>
      <c r="K33" s="4" t="s">
        <v>87</v>
      </c>
      <c r="L33" s="45">
        <f t="shared" si="0"/>
        <v>2028</v>
      </c>
      <c r="M33" s="40">
        <v>0</v>
      </c>
      <c r="N33" s="48" t="str">
        <f t="shared" ca="1" si="1"/>
        <v>Chưa đến hạn</v>
      </c>
    </row>
    <row r="34" spans="1:14" ht="47.25">
      <c r="A34" s="9">
        <v>33</v>
      </c>
      <c r="B34" s="1" t="s">
        <v>92</v>
      </c>
      <c r="C34" s="5" t="s">
        <v>69</v>
      </c>
      <c r="D34" s="3" t="s">
        <v>54</v>
      </c>
      <c r="E34" s="3" t="s">
        <v>55</v>
      </c>
      <c r="F34" s="3" t="s">
        <v>58</v>
      </c>
      <c r="G34" s="4"/>
      <c r="H34" s="4" t="s">
        <v>87</v>
      </c>
      <c r="I34" s="4" t="s">
        <v>87</v>
      </c>
      <c r="J34" s="4"/>
      <c r="K34" s="4"/>
      <c r="L34" s="45">
        <f t="shared" si="0"/>
        <v>2026</v>
      </c>
      <c r="M34" s="40">
        <v>100</v>
      </c>
      <c r="N34" s="48" t="str">
        <f t="shared" ca="1" si="1"/>
        <v>Hoàn thành</v>
      </c>
    </row>
    <row r="35" spans="1:14" ht="47.25">
      <c r="A35" s="9">
        <v>34</v>
      </c>
      <c r="B35" s="1" t="s">
        <v>92</v>
      </c>
      <c r="C35" s="5" t="s">
        <v>69</v>
      </c>
      <c r="D35" s="3" t="s">
        <v>59</v>
      </c>
      <c r="E35" s="3" t="s">
        <v>60</v>
      </c>
      <c r="F35" s="3" t="s">
        <v>61</v>
      </c>
      <c r="G35" s="4"/>
      <c r="H35" s="4" t="s">
        <v>87</v>
      </c>
      <c r="I35" s="4" t="s">
        <v>87</v>
      </c>
      <c r="J35" s="4"/>
      <c r="K35" s="4"/>
      <c r="L35" s="45">
        <f t="shared" si="0"/>
        <v>2026</v>
      </c>
      <c r="M35" s="40">
        <v>0</v>
      </c>
      <c r="N35" s="48" t="str">
        <f t="shared" ca="1" si="1"/>
        <v>Không đạt</v>
      </c>
    </row>
    <row r="36" spans="1:14" ht="47.25">
      <c r="A36" s="9">
        <v>35</v>
      </c>
      <c r="B36" s="1" t="s">
        <v>92</v>
      </c>
      <c r="C36" s="5" t="s">
        <v>69</v>
      </c>
      <c r="D36" s="3" t="s">
        <v>59</v>
      </c>
      <c r="E36" s="3" t="s">
        <v>60</v>
      </c>
      <c r="F36" s="3" t="s">
        <v>62</v>
      </c>
      <c r="G36" s="4"/>
      <c r="H36" s="4"/>
      <c r="I36" s="4" t="s">
        <v>87</v>
      </c>
      <c r="J36" s="4"/>
      <c r="K36" s="4"/>
      <c r="L36" s="45">
        <f t="shared" si="0"/>
        <v>2027</v>
      </c>
      <c r="M36" s="40">
        <v>0</v>
      </c>
      <c r="N36" s="48" t="str">
        <f t="shared" ca="1" si="1"/>
        <v>Chưa đến hạn</v>
      </c>
    </row>
    <row r="37" spans="1:14" ht="47.25">
      <c r="A37" s="9">
        <v>36</v>
      </c>
      <c r="B37" s="12" t="s">
        <v>92</v>
      </c>
      <c r="C37" s="13" t="s">
        <v>69</v>
      </c>
      <c r="D37" s="14" t="s">
        <v>59</v>
      </c>
      <c r="E37" s="14" t="s">
        <v>60</v>
      </c>
      <c r="F37" s="14" t="s">
        <v>63</v>
      </c>
      <c r="G37" s="15" t="s">
        <v>87</v>
      </c>
      <c r="H37" s="15" t="s">
        <v>87</v>
      </c>
      <c r="I37" s="15" t="s">
        <v>87</v>
      </c>
      <c r="J37" s="15" t="s">
        <v>87</v>
      </c>
      <c r="K37" s="15" t="s">
        <v>87</v>
      </c>
      <c r="L37" s="45">
        <f t="shared" si="0"/>
        <v>2025</v>
      </c>
      <c r="M37" s="41">
        <v>100</v>
      </c>
      <c r="N37" s="48" t="str">
        <f t="shared" ca="1" si="1"/>
        <v>Hoàn thành</v>
      </c>
    </row>
    <row r="38" spans="1:14" ht="47.25">
      <c r="A38" s="9">
        <v>37</v>
      </c>
      <c r="B38" s="12" t="s">
        <v>92</v>
      </c>
      <c r="C38" s="13" t="s">
        <v>69</v>
      </c>
      <c r="D38" s="14" t="s">
        <v>59</v>
      </c>
      <c r="E38" s="14" t="s">
        <v>60</v>
      </c>
      <c r="F38" s="14" t="s">
        <v>63</v>
      </c>
      <c r="G38" s="4"/>
      <c r="H38" s="4" t="s">
        <v>87</v>
      </c>
      <c r="I38" s="4"/>
      <c r="J38" s="4"/>
      <c r="K38" s="23"/>
      <c r="L38" s="45">
        <f>VALUE(INDEX(G$1:K$1,MATCH("x",G38:K38,0)))</f>
        <v>2026</v>
      </c>
      <c r="M38" s="42">
        <v>100</v>
      </c>
      <c r="N38" s="48" t="str">
        <f ca="1">IF(M38&gt;=100,"Hoàn thành",IF(M38&gt;0,"Đang thực hiện",IF(L38&gt;YEAR(TODAY()),"Chưa đến hạn","Không đạt")))</f>
        <v>Hoàn thành</v>
      </c>
    </row>
    <row r="46" spans="1:14" ht="16.5">
      <c r="F46" s="50"/>
      <c r="G46" s="51"/>
    </row>
  </sheetData>
  <sheetProtection selectLockedCells="1"/>
  <mergeCells count="1">
    <mergeCell ref="F46:G46"/>
  </mergeCells>
  <phoneticPr fontId="8"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675CC-0821-4B42-97F0-3075314F90CD}">
  <dimension ref="A1:F49"/>
  <sheetViews>
    <sheetView topLeftCell="A14" workbookViewId="0">
      <selection activeCell="M29" sqref="M29"/>
    </sheetView>
  </sheetViews>
  <sheetFormatPr defaultRowHeight="15"/>
  <cols>
    <col min="1" max="1" width="21.28515625" style="28" customWidth="1"/>
    <col min="2" max="2" width="18.7109375" customWidth="1"/>
  </cols>
  <sheetData>
    <row r="1" spans="1:2" ht="18.75">
      <c r="A1" s="26" t="s">
        <v>78</v>
      </c>
      <c r="B1" s="24" t="s">
        <v>99</v>
      </c>
    </row>
    <row r="2" spans="1:2" ht="18.75">
      <c r="A2" s="27" t="s">
        <v>100</v>
      </c>
      <c r="B2" s="25">
        <f ca="1">Summary!C5</f>
        <v>17</v>
      </c>
    </row>
    <row r="3" spans="1:2" ht="18.75">
      <c r="A3" s="27" t="s">
        <v>101</v>
      </c>
      <c r="B3" s="25">
        <f ca="1">Summary!C6</f>
        <v>3</v>
      </c>
    </row>
    <row r="4" spans="1:2" ht="18.75">
      <c r="A4" s="27" t="s">
        <v>102</v>
      </c>
      <c r="B4" s="25">
        <f ca="1">Summary!C7</f>
        <v>4</v>
      </c>
    </row>
    <row r="5" spans="1:2" ht="18.75">
      <c r="A5" s="27" t="s">
        <v>103</v>
      </c>
      <c r="B5" s="25">
        <f ca="1">Summary!C8</f>
        <v>13</v>
      </c>
    </row>
    <row r="25" spans="1:2" ht="18.75">
      <c r="A25" s="29" t="s">
        <v>104</v>
      </c>
      <c r="B25" s="32" t="s">
        <v>105</v>
      </c>
    </row>
    <row r="26" spans="1:2" ht="17.25">
      <c r="A26" s="30" t="s">
        <v>88</v>
      </c>
      <c r="B26" s="31">
        <f ca="1">Summary!D9</f>
        <v>1</v>
      </c>
    </row>
    <row r="27" spans="1:2" ht="17.25">
      <c r="A27" s="30" t="s">
        <v>89</v>
      </c>
      <c r="B27" s="31">
        <f ca="1">Summary!E9</f>
        <v>0.625</v>
      </c>
    </row>
    <row r="28" spans="1:2" ht="17.25">
      <c r="A28" s="30" t="s">
        <v>90</v>
      </c>
      <c r="B28" s="31">
        <f ca="1">Summary!F9</f>
        <v>0.6</v>
      </c>
    </row>
    <row r="29" spans="1:2" ht="17.25">
      <c r="A29" s="30" t="s">
        <v>91</v>
      </c>
      <c r="B29" s="31">
        <f ca="1">Summary!G9</f>
        <v>1</v>
      </c>
    </row>
    <row r="30" spans="1:2" ht="17.25">
      <c r="A30" s="30" t="s">
        <v>92</v>
      </c>
      <c r="B30" s="31">
        <f ca="1">Summary!H9</f>
        <v>0.75</v>
      </c>
    </row>
    <row r="45" spans="1:6">
      <c r="A45" s="33" t="s">
        <v>78</v>
      </c>
      <c r="B45" s="34" t="s">
        <v>88</v>
      </c>
      <c r="C45" s="34" t="s">
        <v>89</v>
      </c>
      <c r="D45" s="34" t="s">
        <v>90</v>
      </c>
      <c r="E45" s="34" t="s">
        <v>91</v>
      </c>
      <c r="F45" s="34" t="s">
        <v>92</v>
      </c>
    </row>
    <row r="46" spans="1:6">
      <c r="A46" s="35" t="s">
        <v>100</v>
      </c>
      <c r="B46" s="36">
        <f ca="1">Summary!D5</f>
        <v>2</v>
      </c>
      <c r="C46" s="36">
        <f ca="1">Summary!E5</f>
        <v>5</v>
      </c>
      <c r="D46" s="36">
        <f ca="1">Summary!F5</f>
        <v>3</v>
      </c>
      <c r="E46" s="36">
        <f ca="1">Summary!G5</f>
        <v>1</v>
      </c>
      <c r="F46" s="36">
        <f ca="1">Summary!H5</f>
        <v>6</v>
      </c>
    </row>
    <row r="47" spans="1:6">
      <c r="A47" s="35" t="s">
        <v>101</v>
      </c>
      <c r="B47" s="36">
        <f ca="1">Summary!D6</f>
        <v>0</v>
      </c>
      <c r="C47" s="36">
        <f ca="1">Summary!E6</f>
        <v>1</v>
      </c>
      <c r="D47" s="36">
        <f ca="1">Summary!F6</f>
        <v>1</v>
      </c>
      <c r="E47" s="36">
        <f ca="1">Summary!G6</f>
        <v>0</v>
      </c>
      <c r="F47" s="36">
        <f ca="1">Summary!H6</f>
        <v>1</v>
      </c>
    </row>
    <row r="48" spans="1:6">
      <c r="A48" s="35" t="s">
        <v>102</v>
      </c>
      <c r="B48" s="36">
        <f ca="1">Summary!D7</f>
        <v>0</v>
      </c>
      <c r="C48" s="36">
        <f ca="1">Summary!E7</f>
        <v>2</v>
      </c>
      <c r="D48" s="36">
        <f ca="1">Summary!F7</f>
        <v>1</v>
      </c>
      <c r="E48" s="36">
        <f ca="1">Summary!G7</f>
        <v>0</v>
      </c>
      <c r="F48" s="36">
        <f ca="1">Summary!H7</f>
        <v>1</v>
      </c>
    </row>
    <row r="49" spans="1:6">
      <c r="A49" s="35" t="s">
        <v>103</v>
      </c>
      <c r="B49" s="36">
        <f ca="1">Summary!D8</f>
        <v>6</v>
      </c>
      <c r="C49" s="36">
        <f ca="1">Summary!E8</f>
        <v>0</v>
      </c>
      <c r="D49" s="36">
        <f ca="1">Summary!F8</f>
        <v>1</v>
      </c>
      <c r="E49" s="36">
        <f ca="1">Summary!G8</f>
        <v>4</v>
      </c>
      <c r="F49" s="36">
        <f ca="1">Summary!H8</f>
        <v>2</v>
      </c>
    </row>
  </sheetData>
  <sheetProtection algorithmName="SHA-512" hashValue="AbRfe/5ELXFLTW2Z5gHKUgj8h7qsCNHQHNzK5JIomcy27M1B/MLMdz/irjNj8U+PAlqwG2rBQo8pdYk8WFz5Tw==" saltValue="r3QY+m7Dwn7osM6iz22v8A=="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3411A-FE7C-4266-B18D-3A7BE20DCFDC}">
  <dimension ref="B2:H10"/>
  <sheetViews>
    <sheetView workbookViewId="0">
      <selection activeCell="P11" sqref="P11"/>
    </sheetView>
  </sheetViews>
  <sheetFormatPr defaultRowHeight="15"/>
  <cols>
    <col min="2" max="2" width="40.42578125" bestFit="1" customWidth="1"/>
    <col min="3" max="3" width="16.7109375" customWidth="1"/>
  </cols>
  <sheetData>
    <row r="2" spans="2:8">
      <c r="B2" s="19"/>
      <c r="C2" s="19" t="s">
        <v>98</v>
      </c>
      <c r="D2" s="19" t="s">
        <v>88</v>
      </c>
      <c r="E2" s="19" t="s">
        <v>89</v>
      </c>
      <c r="F2" s="19" t="s">
        <v>90</v>
      </c>
      <c r="G2" s="19" t="s">
        <v>91</v>
      </c>
      <c r="H2" s="19" t="s">
        <v>92</v>
      </c>
    </row>
    <row r="3" spans="2:8" ht="18.75">
      <c r="B3" s="21" t="s">
        <v>84</v>
      </c>
      <c r="C3" s="19">
        <f>ROWS(tblData[Trạng thái])</f>
        <v>37</v>
      </c>
      <c r="D3" s="19">
        <f>COUNTIF(tblData[No],D$2)</f>
        <v>8</v>
      </c>
      <c r="E3" s="19">
        <f>COUNTIF(tblData[No],E$2)</f>
        <v>8</v>
      </c>
      <c r="F3" s="19">
        <f>COUNTIF(tblData[No],F$2)</f>
        <v>6</v>
      </c>
      <c r="G3" s="19">
        <f>COUNTIF(tblData[No],G$2)</f>
        <v>5</v>
      </c>
      <c r="H3" s="19">
        <f>COUNTIF(tblData[No],H$2)</f>
        <v>10</v>
      </c>
    </row>
    <row r="4" spans="2:8" ht="17.25">
      <c r="B4" s="22" t="s">
        <v>85</v>
      </c>
      <c r="C4" s="19">
        <f ca="1">COUNTIF(tblData[Năm đích],"&lt;="&amp;YEAR(TODAY()))</f>
        <v>24</v>
      </c>
      <c r="D4" s="19">
        <f ca="1">COUNTIFS(tblData[No],D$2,tblData[Năm đích],"&lt;="&amp;YEAR(TODAY()))</f>
        <v>2</v>
      </c>
      <c r="E4" s="19">
        <f ca="1">COUNTIFS(tblData[No],E$2,tblData[Năm đích],"&lt;="&amp;YEAR(TODAY()))</f>
        <v>8</v>
      </c>
      <c r="F4" s="19">
        <f ca="1">COUNTIFS(tblData[No],F$2,tblData[Năm đích],"&lt;="&amp;YEAR(TODAY()))</f>
        <v>5</v>
      </c>
      <c r="G4" s="19">
        <f ca="1">COUNTIFS(tblData[No],G$2,tblData[Năm đích],"&lt;="&amp;YEAR(TODAY()))</f>
        <v>1</v>
      </c>
      <c r="H4" s="19">
        <f ca="1">COUNTIFS(tblData[No],H$2,tblData[Năm đích],"&lt;="&amp;YEAR(TODAY()))</f>
        <v>8</v>
      </c>
    </row>
    <row r="5" spans="2:8" ht="18.75">
      <c r="B5" s="21" t="s">
        <v>81</v>
      </c>
      <c r="C5" s="19">
        <f ca="1">COUNTIFS(tblData[Năm đích],"&lt;="&amp;YEAR(TODAY()),tblData[Trạng thái],"Hoàn thành")</f>
        <v>17</v>
      </c>
      <c r="D5" s="19">
        <f ca="1">COUNTIFS(tblData[No],D$2,tblData[Năm đích],"&lt;="&amp;YEAR(TODAY()),tblData[Trạng thái],"Hoàn thành")</f>
        <v>2</v>
      </c>
      <c r="E5" s="19">
        <f ca="1">COUNTIFS(tblData[No],E$2,tblData[Năm đích],"&lt;="&amp;YEAR(TODAY()),tblData[Trạng thái],"Hoàn thành")</f>
        <v>5</v>
      </c>
      <c r="F5" s="19">
        <f ca="1">COUNTIFS(tblData[No],F$2,tblData[Năm đích],"&lt;="&amp;YEAR(TODAY()),tblData[Trạng thái],"Hoàn thành")</f>
        <v>3</v>
      </c>
      <c r="G5" s="19">
        <f ca="1">COUNTIFS(tblData[No],G$2,tblData[Năm đích],"&lt;="&amp;YEAR(TODAY()),tblData[Trạng thái],"Hoàn thành")</f>
        <v>1</v>
      </c>
      <c r="H5" s="19">
        <f ca="1">COUNTIFS(tblData[No],H$2,tblData[Năm đích],"&lt;="&amp;YEAR(TODAY()),tblData[Trạng thái],"Hoàn thành")</f>
        <v>6</v>
      </c>
    </row>
    <row r="6" spans="2:8" ht="17.25">
      <c r="B6" s="22" t="s">
        <v>82</v>
      </c>
      <c r="C6" s="19">
        <f ca="1">COUNTIFS(tblData[Năm đích],"&lt;="&amp;YEAR(TODAY()),tblData[Trạng thái],"Đang thực hiện")</f>
        <v>3</v>
      </c>
      <c r="D6" s="19">
        <f ca="1">COUNTIFS(tblData[No],D$2,tblData[Năm đích],"&lt;="&amp;YEAR(TODAY()),tblData[Trạng thái],"Đang thực hiện")</f>
        <v>0</v>
      </c>
      <c r="E6" s="19">
        <f ca="1">COUNTIFS(tblData[No],E$2,tblData[Năm đích],"&lt;="&amp;YEAR(TODAY()),tblData[Trạng thái],"Đang thực hiện")</f>
        <v>1</v>
      </c>
      <c r="F6" s="19">
        <f ca="1">COUNTIFS(tblData[No],F$2,tblData[Năm đích],"&lt;="&amp;YEAR(TODAY()),tblData[Trạng thái],"Đang thực hiện")</f>
        <v>1</v>
      </c>
      <c r="G6" s="19">
        <f ca="1">COUNTIFS(tblData[No],G$2,tblData[Năm đích],"&lt;="&amp;YEAR(TODAY()),tblData[Trạng thái],"Đang thực hiện")</f>
        <v>0</v>
      </c>
      <c r="H6" s="19">
        <f ca="1">COUNTIFS(tblData[No],H$2,tblData[Năm đích],"&lt;="&amp;YEAR(TODAY()),tblData[Trạng thái],"Đang thực hiện")</f>
        <v>1</v>
      </c>
    </row>
    <row r="7" spans="2:8" ht="18.75">
      <c r="B7" s="21" t="s">
        <v>83</v>
      </c>
      <c r="C7" s="19">
        <f ca="1">COUNTIFS(tblData[Năm đích],"&lt;="&amp;YEAR(TODAY()),tblData[Trạng thái],"Không đạt")</f>
        <v>4</v>
      </c>
      <c r="D7" s="19">
        <f ca="1">COUNTIFS(tblData[No],D$2,tblData[Năm đích],"&lt;="&amp;YEAR(TODAY()),tblData[Trạng thái],"Không đạt")</f>
        <v>0</v>
      </c>
      <c r="E7" s="19">
        <f ca="1">COUNTIFS(tblData[No],E$2,tblData[Năm đích],"&lt;="&amp;YEAR(TODAY()),tblData[Trạng thái],"Không đạt")</f>
        <v>2</v>
      </c>
      <c r="F7" s="19">
        <f ca="1">COUNTIFS(tblData[No],F$2,tblData[Năm đích],"&lt;="&amp;YEAR(TODAY()),tblData[Trạng thái],"Không đạt")</f>
        <v>1</v>
      </c>
      <c r="G7" s="19">
        <f ca="1">COUNTIFS(tblData[No],G$2,tblData[Năm đích],"&lt;="&amp;YEAR(TODAY()),tblData[Trạng thái],"Không đạt")</f>
        <v>0</v>
      </c>
      <c r="H7" s="19">
        <f ca="1">COUNTIFS(tblData[No],H$2,tblData[Năm đích],"&lt;="&amp;YEAR(TODAY()),tblData[Trạng thái],"Không đạt")</f>
        <v>1</v>
      </c>
    </row>
    <row r="8" spans="2:8" ht="18.75">
      <c r="B8" s="21" t="s">
        <v>86</v>
      </c>
      <c r="C8" s="19">
        <f ca="1">COUNTIFS(tblData[Năm đích],"&gt;"&amp;YEAR(TODAY()))</f>
        <v>13</v>
      </c>
      <c r="D8" s="19">
        <f ca="1">COUNTIFS(tblData[No],D$2,tblData[Năm đích],"&gt;"&amp;YEAR(TODAY()))</f>
        <v>6</v>
      </c>
      <c r="E8" s="19">
        <f ca="1">COUNTIFS(tblData[No],E$2,tblData[Năm đích],"&gt;"&amp;YEAR(TODAY()))</f>
        <v>0</v>
      </c>
      <c r="F8" s="19">
        <f ca="1">COUNTIFS(tblData[No],F$2,tblData[Năm đích],"&gt;"&amp;YEAR(TODAY()))</f>
        <v>1</v>
      </c>
      <c r="G8" s="19">
        <f ca="1">COUNTIFS(tblData[No],G$2,tblData[Năm đích],"&gt;"&amp;YEAR(TODAY()))</f>
        <v>4</v>
      </c>
      <c r="H8" s="19">
        <f ca="1">COUNTIFS(tblData[No],H$2,tblData[Năm đích],"&gt;"&amp;YEAR(TODAY()))</f>
        <v>2</v>
      </c>
    </row>
    <row r="9" spans="2:8" ht="18.75">
      <c r="B9" s="21" t="s">
        <v>79</v>
      </c>
      <c r="C9" s="20">
        <f ca="1">C5/C4</f>
        <v>0.70833333333333337</v>
      </c>
      <c r="D9" s="20">
        <f t="shared" ref="D9:H9" ca="1" si="0">D5/D4</f>
        <v>1</v>
      </c>
      <c r="E9" s="20">
        <f t="shared" ca="1" si="0"/>
        <v>0.625</v>
      </c>
      <c r="F9" s="20">
        <f t="shared" ca="1" si="0"/>
        <v>0.6</v>
      </c>
      <c r="G9" s="20">
        <f t="shared" ca="1" si="0"/>
        <v>1</v>
      </c>
      <c r="H9" s="20">
        <f t="shared" ca="1" si="0"/>
        <v>0.75</v>
      </c>
    </row>
    <row r="10" spans="2:8" ht="18.75">
      <c r="B10" s="21" t="s">
        <v>80</v>
      </c>
      <c r="C10" s="20">
        <f ca="1">(C5+C6)/C4</f>
        <v>0.83333333333333337</v>
      </c>
      <c r="D10" s="20">
        <f t="shared" ref="D10:H10" ca="1" si="1">(D5+D6)/D4</f>
        <v>1</v>
      </c>
      <c r="E10" s="20">
        <f t="shared" ca="1" si="1"/>
        <v>0.75</v>
      </c>
      <c r="F10" s="20">
        <f t="shared" ca="1" si="1"/>
        <v>0.8</v>
      </c>
      <c r="G10" s="20">
        <f t="shared" ca="1" si="1"/>
        <v>1</v>
      </c>
      <c r="H10" s="20">
        <f t="shared" ca="1" si="1"/>
        <v>0.875</v>
      </c>
    </row>
  </sheetData>
  <sheetProtection algorithmName="SHA-512" hashValue="/y3JzmHUE9zMZKx9dx3gJfBY8R+kwxPBjWaopOt5TKEbUSrWRapCOEpMiTpNcdB4TOA+9dRuRZg73v/PKY+qXQ==" saltValue="VBg1nMVBLZGjibEAUSjNI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 Hong Nam</dc:creator>
  <cp:lastModifiedBy>Dao Hong Nam</cp:lastModifiedBy>
  <dcterms:created xsi:type="dcterms:W3CDTF">2026-07-16T01:05:18Z</dcterms:created>
  <dcterms:modified xsi:type="dcterms:W3CDTF">2026-08-03T09:38:12Z</dcterms:modified>
</cp:coreProperties>
</file>